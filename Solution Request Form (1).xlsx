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C8036DDC-AA00-484A-A462-79FCCC1362AB}" xr6:coauthVersionLast="47" xr6:coauthVersionMax="47" xr10:uidLastSave="{00000000-0000-0000-0000-000000000000}"/>
  <bookViews>
    <workbookView xWindow="0" yWindow="0" windowWidth="28800" windowHeight="13905" xr2:uid="{00000000-000D-0000-FFFF-FFFF00000000}"/>
  </bookViews>
  <sheets>
    <sheet name="Sheet1" sheetId="1" r:id="rId1"/>
    <sheet name="Sheet2" sheetId="2" r:id="rId2"/>
  </sheets>
  <definedNames>
    <definedName name="_xlnm._FilterDatabase" localSheetId="0" hidden="1">Sheet1!$N$255:$N$255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3" i="1" l="1"/>
  <c r="E252" i="1"/>
  <c r="E249" i="1"/>
  <c r="E250" i="1"/>
  <c r="E251" i="1"/>
  <c r="E248" i="1"/>
  <c r="E247" i="1"/>
  <c r="E246" i="1"/>
  <c r="E245" i="1"/>
  <c r="E244" i="1"/>
  <c r="E243" i="1"/>
  <c r="E242" i="1"/>
  <c r="E241" i="1"/>
  <c r="E240" i="1"/>
  <c r="E239" i="1"/>
  <c r="E238" i="1"/>
  <c r="E237" i="1"/>
  <c r="E236" i="1"/>
  <c r="E235" i="1"/>
  <c r="E233" i="1"/>
  <c r="E234" i="1"/>
  <c r="E231" i="1"/>
  <c r="E190" i="1"/>
  <c r="E122" i="1"/>
  <c r="E85" i="1"/>
  <c r="E189" i="1"/>
  <c r="E226" i="1"/>
  <c r="E87" i="1"/>
  <c r="E132" i="1"/>
  <c r="E223" i="1"/>
  <c r="E204" i="1"/>
  <c r="E101" i="1"/>
  <c r="E91" i="1"/>
  <c r="E219" i="1"/>
  <c r="E225" i="1"/>
  <c r="E167" i="1"/>
  <c r="E216" i="1"/>
  <c r="E215" i="1"/>
  <c r="E175" i="1"/>
  <c r="E100" i="1"/>
  <c r="E212" i="1"/>
  <c r="E211" i="1"/>
  <c r="E210" i="1"/>
  <c r="E209" i="1"/>
  <c r="E208" i="1"/>
  <c r="E95" i="1"/>
  <c r="E205" i="1"/>
  <c r="E194" i="1"/>
  <c r="E202" i="1"/>
  <c r="E199" i="1"/>
  <c r="E200" i="1"/>
  <c r="E133" i="1"/>
  <c r="E178" i="1"/>
  <c r="E176" i="1"/>
  <c r="E166" i="1"/>
  <c r="E164" i="1"/>
  <c r="E227" i="1"/>
  <c r="E193" i="1"/>
  <c r="E76" i="1"/>
  <c r="E78" i="1"/>
  <c r="E123" i="1"/>
  <c r="E188" i="1"/>
  <c r="E186" i="1"/>
  <c r="E185" i="1"/>
  <c r="E184" i="1"/>
  <c r="E183" i="1"/>
  <c r="E147" i="1"/>
  <c r="E181" i="1"/>
  <c r="E111" i="1"/>
  <c r="E182" i="1"/>
  <c r="E141" i="1"/>
  <c r="E177" i="1"/>
  <c r="E113" i="1"/>
  <c r="E118" i="1"/>
  <c r="E174" i="1"/>
  <c r="E173" i="1"/>
  <c r="E73" i="1"/>
  <c r="E171" i="1"/>
  <c r="E170" i="1"/>
  <c r="E124" i="1"/>
  <c r="E163" i="1"/>
  <c r="E220" i="1"/>
  <c r="E218" i="1"/>
  <c r="E217" i="1"/>
  <c r="E214" i="1"/>
  <c r="E213" i="1"/>
  <c r="E207" i="1"/>
  <c r="E137" i="1"/>
  <c r="E94" i="1"/>
  <c r="E201" i="1"/>
  <c r="E153" i="1"/>
  <c r="E154" i="1"/>
  <c r="E149" i="1"/>
  <c r="E203" i="1"/>
  <c r="E179" i="1"/>
  <c r="E142" i="1"/>
  <c r="E131" i="1"/>
  <c r="E107" i="1"/>
  <c r="E129" i="1"/>
  <c r="E128" i="1"/>
  <c r="E98" i="1"/>
  <c r="E172" i="1"/>
  <c r="E120" i="1"/>
  <c r="E127" i="1"/>
  <c r="E119" i="1"/>
  <c r="E117" i="1"/>
  <c r="E96" i="1"/>
  <c r="E116" i="1"/>
  <c r="E230" i="1"/>
  <c r="E135" i="1"/>
  <c r="E106" i="1"/>
  <c r="E221" i="1"/>
  <c r="E84" i="1"/>
  <c r="E222" i="1"/>
  <c r="E10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tc={E9996E28-0FE3-4D0A-AA60-F1DF77F3E120}</author>
    <author>tc={17C84A16-38F9-4EBB-B69A-A14B6682DCA7}</author>
  </authors>
  <commentList>
    <comment ref="AE94" authorId="0" shapeId="0" xr:uid="{E9996E28-0FE3-4D0A-AA60-F1DF77F3E12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@Pankaj Chakrabarty </t>
      </text>
    </comment>
    <comment ref="AE140" authorId="1" shapeId="0" xr:uid="{17C84A16-38F9-4EBB-B69A-A14B6682DC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@Pankaj Chakrabarty </t>
      </text>
    </comment>
  </commentList>
</comments>
</file>

<file path=xl/sharedStrings.xml><?xml version="1.0" encoding="utf-8"?>
<sst xmlns="http://schemas.openxmlformats.org/spreadsheetml/2006/main" count="4750" uniqueCount="2018">
  <si>
    <t>Id</t>
  </si>
  <si>
    <t>Column1</t>
  </si>
  <si>
    <t>Start time</t>
  </si>
  <si>
    <t>Completion time</t>
  </si>
  <si>
    <t>Initial Response Date</t>
  </si>
  <si>
    <t>Email</t>
  </si>
  <si>
    <t>Name</t>
  </si>
  <si>
    <t>Email Subject Line</t>
  </si>
  <si>
    <t>Brief</t>
  </si>
  <si>
    <t>Description</t>
  </si>
  <si>
    <t>Client/Prospect Name</t>
  </si>
  <si>
    <t>Status</t>
  </si>
  <si>
    <t>Solution Suggested/Answer to Query</t>
  </si>
  <si>
    <t>(Optional)</t>
  </si>
  <si>
    <t>Employee Size</t>
  </si>
  <si>
    <t>Billing Location</t>
  </si>
  <si>
    <t>Subscription Cost</t>
  </si>
  <si>
    <t>Rewards Budget</t>
  </si>
  <si>
    <t>Feature Name</t>
  </si>
  <si>
    <t>Please mention customizations done for the client that may have an impact on this request. </t>
  </si>
  <si>
    <t>VC SPOC</t>
  </si>
  <si>
    <t>Priority Justification</t>
  </si>
  <si>
    <t>Is it a go-live requirement?</t>
  </si>
  <si>
    <t>Go-live Date</t>
  </si>
  <si>
    <t xml:space="preserve">Link 1 </t>
  </si>
  <si>
    <t>Link 2</t>
  </si>
  <si>
    <t>DEV Sprint Planning</t>
  </si>
  <si>
    <t>Ticket</t>
  </si>
  <si>
    <t>Department</t>
  </si>
  <si>
    <t>Closed On</t>
  </si>
  <si>
    <t>Solution SPOC</t>
  </si>
  <si>
    <t>Remarks</t>
  </si>
  <si>
    <t>Complexity</t>
  </si>
  <si>
    <t>Kongkona Bayan</t>
  </si>
  <si>
    <t>Merit Group &lt;&gt; Auto Trigger of points for new joiners</t>
  </si>
  <si>
    <t>Auto Trigger of points for new joiners</t>
  </si>
  <si>
    <t>Any new joiner in the system from 1st April 2025 (basically post Go Live) should receive 100 points as a part of their onboarding process. CSV upload was suggested but the client wants an auto trigger feature on the platform by checking the doj of the user.</t>
  </si>
  <si>
    <t>Merit Group</t>
  </si>
  <si>
    <t>Solution Given Closed</t>
  </si>
  <si>
    <t xml:space="preserve">1. Keep the 'Registration points' Actionable disabled and manually assign '100' points to new joiners using the CSV Awards option during the first load.
2. Afterward, the 'Registration points' Actionable can be activated. (Auto-registered users will also receive the registration points, which will be confirmed after testing)
3. Manual reconciliation of points will be required until any product enhancements are implemented in this area.
</t>
  </si>
  <si>
    <t>India</t>
  </si>
  <si>
    <t>INR 240000 + Taxes</t>
  </si>
  <si>
    <t>No</t>
  </si>
  <si>
    <t>No Action</t>
  </si>
  <si>
    <t>Implementation</t>
  </si>
  <si>
    <t>Garima</t>
  </si>
  <si>
    <t>Low Complexity</t>
  </si>
  <si>
    <t>Piyush Mahajan</t>
  </si>
  <si>
    <t>Company Branded Merchandise Only Option for Redemption</t>
  </si>
  <si>
    <t xml:space="preserve">Customization in Redmeption section, need only Merchandise with own vendor </t>
  </si>
  <si>
    <t>1. Gift Cards and Experiences sections should be disabled on the Redemption page.
2. Only their company-branded merchandise should be visible under the Merchandise section.
3. They already have a vendor supplying these branded items, so when someone redeems the item, the HR will procure the same from the vendor and hand them to the employees in person.
4. However, they require an email notification to be triggered to the HR Team whenever an employee redeems their points for company-branded merchandise.</t>
  </si>
  <si>
    <t>Servion</t>
  </si>
  <si>
    <t>1. Disabling Gift Cards and Experiences: Our Tech-Ops team can hide these sections, leaving only Merchandise visible on the Redemption page.
2. Showing Only Company-Branded Merchandise: The Merchandise section can display just branded items, with @Udayan Bordoloi setting up the deals.
3. Emailing the HR Team: We can add an HR group email to vendor redemption reports, sent daily, weekly, or monthly.</t>
  </si>
  <si>
    <t>R&amp;R Sales</t>
  </si>
  <si>
    <t>Bhargav</t>
  </si>
  <si>
    <t>Vijayendra Borthakur</t>
  </si>
  <si>
    <t>Request to Add Prebuilt Message Templates for Service Yearbook   Amtara Seniopr Care</t>
  </si>
  <si>
    <t xml:space="preserve">Addition of prebuilt message templates that users can select from
</t>
  </si>
  <si>
    <t>The client is concerned about whether their users will be able to share messages in a professional and appropriate manner for inclusion in the Service Yearbook. To address this, they have requested the addition of prebuilt message templates that users can select from.
AI-enabled feature, which allows users to generate personalized messages based on the recipient’s top qualities was suggested, still they reiterated their request for prebuilt templates as an additional option.</t>
  </si>
  <si>
    <t>Antara Senior Care</t>
  </si>
  <si>
    <t>Rejected</t>
  </si>
  <si>
    <t>Having pre-built message templates dilutes the entire purpose of having a personalized Service Yearbook. Hence, this request was rejected. 
However, it was highlighted that the AI message compose feature should be highlighted and the logic reworked to better assist users.</t>
  </si>
  <si>
    <t>Over Teams</t>
  </si>
  <si>
    <t>Service Yearbook Second Page Customization</t>
  </si>
  <si>
    <t>Client wants a custom verbiage on the second page of the Service Yearbook where a generic information about the employee like years of emplpoyment, work anniversary year are mentioned.</t>
  </si>
  <si>
    <t>National DCP</t>
  </si>
  <si>
    <t>No Response Closed</t>
  </si>
  <si>
    <t>It will need a custom effort. BRD attached in Link 1</t>
  </si>
  <si>
    <t>BRD Service Yearbook Second Page.docx</t>
  </si>
  <si>
    <t>On hold</t>
  </si>
  <si>
    <t>Closed due to no response</t>
  </si>
  <si>
    <t>Medium Complexity</t>
  </si>
  <si>
    <t>hemanga.bharadwaj@vantagecircle.com</t>
  </si>
  <si>
    <t>Hemanga Bharadwaj</t>
  </si>
  <si>
    <t>Hershey’s RFP Question</t>
  </si>
  <si>
    <t>Questions about product features for RFP</t>
  </si>
  <si>
    <t>Could you please provide responses to the questions outlined below? We need this information for the Hershey’s RFP we’re currently working on. I realize this is a last-minute request, but it would be really helpful if you could share your responses by the end of the day Tuesday.
Once Swiftly is onboarded, will the experiences in the catalog be refreshed on a regular basis (e.g., annually)?
Could you please confirm if the Reward Store (offering audiobooks, eBooks, etc.) is live for the North America market? We’ve only seen it available on the demo site so far. If it is relevant, could you also let me know how frequently the content in the Reward Store is refreshed?</t>
  </si>
  <si>
    <t>Hershey’s</t>
  </si>
  <si>
    <t>Hi Prashansa,
Switchfly is a dynamic catalog populated in the real time the offering is in lines with what major players like Expedia and Viator has to offer. 
Reward the world has multiple categories available in different geo's below is a list which includes the details. 
Audio Books - All Countries
eBooks - All Countries
eMagazine - All Countries
Mobile Top-Up - All Countries
Movies - All Countries
Software - All Countries
Travel - All Countries
Games - United States, Greece, Netherlands, Belgium, France, Spain, Italy, Switzerland, Austria, United Kingdom, Denmark, Sweden, Norway, Germany, Portugal, Luxembourg, Ireland, Iceland, Malta, Cyprus, Finland, Lithuania, Latvia, Estonia, Monaco, Slovenia, Slovakia, Liechtenstein
Music - United States, United Kingdom, Canada
Gift Cards - United States, United Kingdom, Canada, Australia, New Zealand
Please note for both these integrations we redirect the user to the partner's platform and hence the catalogs are always real time and latest. 
Hope this helps.
Warm Regards,
Hemanga</t>
  </si>
  <si>
    <t>Redemption</t>
  </si>
  <si>
    <t>-</t>
  </si>
  <si>
    <t>P1</t>
  </si>
  <si>
    <t>Hemanga</t>
  </si>
  <si>
    <t>Servion &amp; Vantage Circle | Merchandise &amp; Brand Store Discussion</t>
  </si>
  <si>
    <t>Payment gateway availablity outside India and Merchandise Tab Renaming</t>
  </si>
  <si>
    <t>From Piyush Mahajan
​
Hi Hemanga,
Could you please confirm if we have the payment gateway integration available for Gift Cards and Amazon Store in US/Canada?
US/Canada employees will have access to gift cards and Amazon store and make the payment through payment gateway.
--
Piyush Mahajan
AVP - Enterprise Sales
Contact: +919988549383
Client Email
From: Josephraaj R V &lt;josephraaj.rv@servion.com&gt;
Sent: 25 March 2025 10:53 AM
To: Piyush Mahajan &lt;piyush.mahajan@vantagecircle.com&gt;; Himank Gupta &lt;himank.gupta@vantagecircle.com&gt;
Cc: Dharini Karthik &lt;dharini.karthik@servion.com&gt;
Subject: RE: Servion &amp; Vantage Circle | Merchandise &amp; Brand Store Discussion
Hi Piyush and Himank,
Here is my final understanding after yesterday’s call and conversation with Himank post that. I need one mail confirmation from your end for me to proceed further on this and take a final decision.
This is regarding only the Servion brand store and the fulfilment services.
India Employees:
For India employees the brand store (Servion products), ,merchandise and experiences sections will be visible, and Vantage has the fulfilment services as well,
Non- India Employees:
Employees can see the ‘Servion product store tab’ in the merchandise section and the Vantage will display the product catalogue with logos which is shared by the Servion. The employees from US/Canada/ME/APAC regions can redeem the products.HR will get the notification/report regarding the redemption.
Vantage cannot do the fulfilment services. Servion must locally source the product/shipment vendor, or the shipment must be managed by Servion HR/Admn dept.  
In addition to this, US/Canada employees will have access to gift cards and Amazon store and make the payment through payment gateway.
Hope my understanding is correct.
Pls confirm me so that I can take it forward.
Regards
Josephraaj</t>
  </si>
  <si>
    <t>Payment Gateway Integration – The payment gateway is available only for India users, and it can be used to top up their wallets. This feature is not available for any other geography, including the US and Canada.
Servion Product Store Tab – There will not be a separate tab titled ‘Servion Product Store’ on the platform. At most, this can be included as a category under the merchandise section. We cannot rename the tab.</t>
  </si>
  <si>
    <t xml:space="preserve">Not available </t>
  </si>
  <si>
    <t>P3</t>
  </si>
  <si>
    <t>26-3-25</t>
  </si>
  <si>
    <t>Pritinita Moral</t>
  </si>
  <si>
    <t>Aptean ask for integration documentation</t>
  </si>
  <si>
    <t xml:space="preserve">Teams app creation documentation </t>
  </si>
  <si>
    <t>Aptean client’s query: 
They have their own application and want to integrate their Viva Engage rewards into it. They are looking for technical documentation similar to what we used to use when integrating our platform with Microsoft Teams.
I have discussed this with both Ankur and Garima. While we might have internal documentation on our integrations, it may not be suitable for sharing because it is specific to our platform and does not account for their application’s architecture, environment, or how their system would respond. Since we lack further details about their setup, our existing documentation may not be relevant to their use case.
Could you please let me know if we have any generic documentation that can be shared with the client to help them understand the integration process?
Regards,
Pritinita Moral
Client Implementation Specialist
Work Timings: 4.30am MT to 1.30pm MT</t>
  </si>
  <si>
    <t>Aptean</t>
  </si>
  <si>
    <t>Relevant link to Microsoft Documentation was shared.</t>
  </si>
  <si>
    <t>NA</t>
  </si>
  <si>
    <t>Microsoft Teams App</t>
  </si>
  <si>
    <t xml:space="preserve">- </t>
  </si>
  <si>
    <t>P0</t>
  </si>
  <si>
    <t>Questions wizard combination feasibility | Mitsogo | Solutions</t>
  </si>
  <si>
    <t>Mapping multiple combinations to an award when using Question Wizard</t>
  </si>
  <si>
    <t>Client has used question wizard with 4 questions and 4 answer options for each question. They have identified 4 combinations for which the respective awards have been mapped. For the rest of the 252(4x4x4x4 - 4) combinations they seek to map a Spot Award 2 and Innovation Champ 2.</t>
  </si>
  <si>
    <t>Mitsogo</t>
  </si>
  <si>
    <t>If the combinations were limited the ideal solution would have been to map the combinations through Dashboard. Since it is not practically possible to map 252 combinations manually it was suggested by Himadri to have the message edited when no awards are mapped from 'No awards found' to 
Message for Badges- 'This selection didn’t match a badge. Explore other choices!'
Message for Award- 'This selection didn’t match an award. Explore other choices!'
BRD attached in link.</t>
  </si>
  <si>
    <t>Questions and Category</t>
  </si>
  <si>
    <t>Team</t>
  </si>
  <si>
    <t>Over MS Teams - Solution Team</t>
  </si>
  <si>
    <t>Customization of CSV upload email</t>
  </si>
  <si>
    <t>Client wants to remove the sentence ‘To start things of on a great note….’. from points allocation mail body and add custom text.</t>
  </si>
  <si>
    <t>The said email is part of the ongoing development for cutomizable emails from the Dashboard. For now the request has been rejected. Implementation team will brief the CX POC and accordingly it will be handled by them.</t>
  </si>
  <si>
    <t>rohit.debnath@vantagecircle.com</t>
  </si>
  <si>
    <t>Rohit Debnath</t>
  </si>
  <si>
    <t>Query Reply 5.11 Fenesta</t>
  </si>
  <si>
    <t xml:space="preserve">Below are the queries I received from a client
Historic Nominations - User should be able to view historic nominations received by team members
Manager should be able to view -
No. of times his team members have been nominated (no of nominations against each team member)
No. of Awards and badges received by each member
Category of Awards and badges received by each team member
What types of information can be delivered through SMS, such as OTPs, recognition notifications, transactional details, and more?
</t>
  </si>
  <si>
    <t>Fenesta</t>
  </si>
  <si>
    <t xml:space="preserve">Answer: Any user can view colleagues' approved Nominations by visiting their profile if the 'Search' function is enabled for the organization.
Answer: This information can be extracted from the downloadable CSV report in Manager Insights. If they wish to see only the approved nominations, then it is directly available in Manager Insights.
Answer: Available inside Manager Insights. (Leaderboard too for other users)
Answer: Only the names of the Awards and Badges are visible in Manager Insights and User Profiles.
Answer: OTPs and transactional details can be sent through SMS if the users don't have email ids. The recognition notifications are sent via WhatsApp, not SMS.
</t>
  </si>
  <si>
    <t>0</t>
  </si>
  <si>
    <t>Priyanka Singh Chauhan</t>
  </si>
  <si>
    <t>Ongoing client</t>
  </si>
  <si>
    <t>garima.kayal@vantagecircle.com</t>
  </si>
  <si>
    <t>Ankit Mehta</t>
  </si>
  <si>
    <t>Discussion with Vantage Circle- Odyssey Impact
URGENT:: Odyssey Discussion - Vantage Circle</t>
  </si>
  <si>
    <t>TATA Demerger</t>
  </si>
  <si>
    <t>TATA Motors is demerging into separate entities. To this effect, they seek clarification on how to proceed with the R&amp;R platform. 
They have sought to mention the entity name on the certificate as a solution to suggest to CHRO. Yet to receive any confirmation.</t>
  </si>
  <si>
    <t>Tata Motors</t>
  </si>
  <si>
    <t>After multiple discussions and requirement gathering from client an approach note was shared attached in links.</t>
  </si>
  <si>
    <t>R&amp;R Platform</t>
  </si>
  <si>
    <t>Parineeta</t>
  </si>
  <si>
    <t>Link</t>
  </si>
  <si>
    <t>PACE</t>
  </si>
  <si>
    <t>Quartely Closure</t>
  </si>
  <si>
    <t>High Complexity</t>
  </si>
  <si>
    <t>Preetisha Bordoloi</t>
  </si>
  <si>
    <t>Error Message list</t>
  </si>
  <si>
    <t>Wipro Award Validation Message Customization</t>
  </si>
  <si>
    <t>Wipro has certain validations which they refer to as Governances. For each governance they wish to have a separate message. Currently, combined generic messages are being displayed for few governances.</t>
  </si>
  <si>
    <t>Wipro</t>
  </si>
  <si>
    <t>Team was asked to reconsider the solution given previously by Priyam Borkakoty</t>
  </si>
  <si>
    <t xml:space="preserve">Nominations -Monetary Recognitions </t>
  </si>
  <si>
    <t>PX - Nitika, CX - Preetisha</t>
  </si>
  <si>
    <t>jitupan.nath@vantagecircle.com</t>
  </si>
  <si>
    <t>Jitupan Nath</t>
  </si>
  <si>
    <t>PhonePe Milestone Solution</t>
  </si>
  <si>
    <t>The client wishes to have the milestone catalogue with an option to target a specific set of employees, we need a work around on the request as the client wants this to be available for the employees by May'25</t>
  </si>
  <si>
    <t xml:space="preserve">The client wants to create a system in the milestone catalogue where they can target a specific set of employees, they are planning to give out Vouchers (Hotel &amp; Eletronics) for all the employees along with that they want to add a Cash Out option for the BDA employees, the idea behind this is since the salary band is low and providing them with the cash out option so that they can use the value as per their preference. </t>
  </si>
  <si>
    <t>PhonePe</t>
  </si>
  <si>
    <t>Initial response(ppt) was given through Team. The second response through mail.
To address this need, we propose leveraging the Multiple-Wallets Feature(deck attached in link), which allows PhonePe to create two separate wallets:​
Wallet A: With CTC-based cash-out option.​
Wallet B: No cash-out option for higher CTC employees.​
Each employee will be awarded Service Anniversary points in their respective wallet as per their eligibility through CSV upload.​
They did not go ahead with this approach. A second solution was suggested to implement two separate companies one with cash-out option and one without. Doing this would limit the possibility of SSO in future also. Shared R&amp;R workflows would also not be possible.</t>
  </si>
  <si>
    <t>INDIA</t>
  </si>
  <si>
    <t>Milestone Catalog</t>
  </si>
  <si>
    <t>Shruti Kulkarni</t>
  </si>
  <si>
    <t>High</t>
  </si>
  <si>
    <t>Yes</t>
  </si>
  <si>
    <t>Merchandise Sales</t>
  </si>
  <si>
    <t>Client onboarded</t>
  </si>
  <si>
    <t>ankit.mehta@vantagecircle.com</t>
  </si>
  <si>
    <t>****URGENT: Request for Enhancements in Recognition Alerts &amp; Campaigns****</t>
  </si>
  <si>
    <t>enhance utilisation</t>
  </si>
  <si>
    <t xml:space="preserve">Supervisor Email Alerts: Please enable automated email alerts to supervisors prompting them with the question, "Whom would you like to recognize today?" The email should include a direct link for easy recognition submission.
Employee Peer-to-Peer Alerts: Please set up weekly email reminders for employees to encourage participation in peer-to-peer recognition.
 </t>
  </si>
  <si>
    <t>Tata technologies</t>
  </si>
  <si>
    <t>Based on the discussions it was found that Manager Insights is disabled for Tata Tech. It should be enabled for Managers to get a monthy summary of recognition for their teams on email.
Their tennat ID is not provided in Teams. This ID will help activate Teams notifications thereby increasing the adoption of Microsoft Teams and R&amp;R Platform.</t>
  </si>
  <si>
    <t>india</t>
  </si>
  <si>
    <t>platform</t>
  </si>
  <si>
    <t>anurag sinha</t>
  </si>
  <si>
    <t>will enhance utilisation</t>
  </si>
  <si>
    <t>Closed after no response on Tenant ID</t>
  </si>
  <si>
    <t>low Complexity</t>
  </si>
  <si>
    <t>Request for Feasibility, Timelines, and Costs – Automated Award Mailer through Accolades Portal
Request for Feasibility, Timelines, and Costs – Accolades Award Mailers and Reward Portal</t>
  </si>
  <si>
    <t>Automate the award mailer process for Platinum, Gold, Silver, and Bronze awards by integrating a backend system that populates award details into predefined templates (attached in the mail) and dispatches the mailers to designated SPOCs.</t>
  </si>
  <si>
    <t xml:space="preserve">Backend Automation
•	Extract award details (project names, winners, award levels) from the backend database.
•	Populate extracted details into predefined email- certificate templates (attached).
•	Validate data accuracy before dispatch.
Mailer Distribution
•	Map and send emails to designated SPOCs as per the award type.
•	Ensure restricted access to mailers based on the distribution matrix.
•	Maintain an audit trail for mail dispatch (timestamp, recipient, status, etc.).
</t>
  </si>
  <si>
    <t>SPOC details can be added to additional info of respective employees to send CC email notification to SPOC for the awards won by those employees.
Request for development of an automated template emailer for winners was rejected.</t>
  </si>
  <si>
    <t>na</t>
  </si>
  <si>
    <t>ankit mehta</t>
  </si>
  <si>
    <t>feasibility check</t>
  </si>
  <si>
    <t>Garima, Pankaj</t>
  </si>
  <si>
    <t>nitika.anand@vantagecircle.com</t>
  </si>
  <si>
    <t>Nitika Anand</t>
  </si>
  <si>
    <t>Enhancements for Mercedes</t>
  </si>
  <si>
    <t>Features enhancement request MBRDI</t>
  </si>
  <si>
    <t>Visibility of team members to the manager whenever they click on “Recognize”
Regular email nudges to be sent to employees for points redemption
Appreciation message size to be brought down from 1000 characters to 500 characters (Problem was due to responsiveness in certificate, which be handled by Product)
Budget view to be granted to HR Admin Access with the option to allocate/deallocate/transfer</t>
  </si>
  <si>
    <t>MBRDI</t>
  </si>
  <si>
    <t>Solution to points 1 and 2 were provided rest were passed on to Product Team.
Point 1: On clicking on the recognition actionable the suggestions under the my team section can be one of the following : 
The employees in the department.  
The direct reports of the manager.
The peers and direct reports of the manager.
You may raise a Jira ticket and tag the Tech ops team ( Arindam ). 
For point 2, we already have few nudges which are sent out to clients for points redemption and we can enable those for Mercedes as well. @Arunim will support in enabling this for Mercedes.</t>
  </si>
  <si>
    <t>Bengaluru</t>
  </si>
  <si>
    <t>Budget View</t>
  </si>
  <si>
    <t>Nitika Nashreen</t>
  </si>
  <si>
    <t xml:space="preserve">The client has recently gone live  and they were facing a lot of challenges with the new processes. </t>
  </si>
  <si>
    <t>piyush.mahajan@vantagecircle.com</t>
  </si>
  <si>
    <t>LTIMindtree | R&amp;R Questionnaire</t>
  </si>
  <si>
    <t>Nudges and escalation of never nominated associates, non-participating R&amp;R nominators to next level.
Auto generation capability of citation based on themes.
Creation of custom reports using specific attributes by drag/drop.</t>
  </si>
  <si>
    <t>LTIMindtree</t>
  </si>
  <si>
    <r>
      <rPr>
        <sz val="11"/>
        <color rgb="FF000000"/>
        <rFont val="Calibri"/>
        <scheme val="minor"/>
      </rPr>
      <t xml:space="preserve">Please find the responses inline:
1. Facility for nudges and escalation of never nominated associates, non-participating R&amp;R nominators to next level. 
The built-in nudges and notifications are typically delivered via email, bell notifications and Microsoft Teams notifications. While several standard nudges are already available, we can also create customized nudges to cater to specific client use cases. The platform also features Manager Insights—a dashboard providing managers with detailed visibility into their teams' recognition patterns, enabling them to identify engagement gaps, celebrate top contributors, and reinforce a culture of appreciation. Additionally, escalation mechanisms can be developed as a customized offering to notify the next level of managers or HR teams, encouraging broader participation and program effectiveness. 
2. Elaborate on Auto generation capability of citation based on themes.
Currently, the platform supports templatized appreciation messages that can be tailored to each client’s tone and recognition culture. These templates ensure consistency while allowing some customization. The capability to auto-generate citations based on predefined themes or recognition categories (e.g., teamwork, innovation, customer service) is part of our product roadmap, expected by year-end 2025. This feature aims to streamline the nomination process by helping users quickly generate meaningful messages aligned with organizational values.
3. Does the tool allow creation of custom reports using specific attributes by drag/drop?
The platform currently offers 10+ commonly used reports accessible via the dashboard, each equipped with extensive filtering options (e.g., by department, award type, date range, etc.). In addition to these standard reports, custom reports can also be created upon request and configured for automated delivery via email at defined intervals (e.g., weekly, monthly). This provides flexibility for clients who need specific insights tailored to their organizational structure or KPIs.
4. Platform on which the application is based on ?, is the code used open source - Who pays for the platform?
Vantage Circle is a proprietary, cloud-based employee platform hosted on DigitalOcean servers. The platform is developed using a modern technology stack that includes Scala for backend development, utilizing the Play Framework, with GraphQL for the API layer. The frontend is built using Angular 15, PHP, and TypeScript to deliver a seamless and responsive user experience. The application is not open source, and all code is maintained by Vantage Circle's internal engineering team, ensuring full control over development, security, and ongoing maintenance.
The platform follows a SaaS (Software as a Service) model. It is funded by client organizations through subscription or licensing fees based on the modules they choose to implement (e.g. Recognition,Rewards, Employee Benefits, Wellness, Surveys). Employees do not pay for the use of the platform.
5. What kind of data interfaces are possible? The type of reporting functionality suggested that it would need some API/ integration with company's HRMS tools.
Our platform supports integration with various HRMS via API, ensuring consistent employee data across all entities. In addition, we integrate with collaboration tools like Microsoft Teams to enable seamless recognition sharing and notifications.
6. Can we build linkage to any other tools/ Data repositories? Ex - if we want your tool to engage with leadership stakeholders using some data points (ex - project margins, customer complaints, internal and external customer satisfaction are those feasible?)
To support advanced reporting and analytics, we offer a Data Transfer API, which allows clients to extract reports and utilize them in any data visualization or business intelligence tool of their choice (e.g., Power BI, Tableau) giving organizations full control over how they consume and analyze recognition data. This also helps leadership correlate R&amp;R activity with broader business performance when analyzed alongside other internal metrics.
7. List of OOTB and different customized features till date for each implementation till date.
Our platform offers a comprehensive and flexible recognition ecosystem designed to support diverse organizational needs across geographies.
Key features include:
</t>
    </r>
    <r>
      <rPr>
        <b/>
        <sz val="11"/>
        <color rgb="FF000000"/>
        <rFont val="Calibri"/>
        <scheme val="minor"/>
      </rPr>
      <t>Profile Badges:</t>
    </r>
    <r>
      <rPr>
        <sz val="11"/>
        <color rgb="FF000000"/>
        <rFont val="Calibri"/>
        <scheme val="minor"/>
      </rPr>
      <t xml:space="preserve"> Recognize specific employee traits, skills, or actions with badges that enhance employee profiles and promote organizational values.
</t>
    </r>
    <r>
      <rPr>
        <b/>
        <sz val="11"/>
        <color rgb="FF000000"/>
        <rFont val="Calibri"/>
        <scheme val="minor"/>
      </rPr>
      <t>Manager Gifting:</t>
    </r>
    <r>
      <rPr>
        <sz val="11"/>
        <color rgb="FF000000"/>
        <rFont val="Calibri"/>
        <scheme val="minor"/>
      </rPr>
      <t xml:space="preserve"> Enable managers to directly appreciate and reward their team members with customized gifts, creating a more personal and meaningful recognition experience.
</t>
    </r>
    <r>
      <rPr>
        <b/>
        <sz val="11"/>
        <color rgb="FF000000"/>
        <rFont val="Calibri"/>
        <scheme val="minor"/>
      </rPr>
      <t>Multiple Wallets:</t>
    </r>
    <r>
      <rPr>
        <sz val="11"/>
        <color rgb="FF000000"/>
        <rFont val="Calibri"/>
        <scheme val="minor"/>
      </rPr>
      <t xml:space="preserve"> Support multiple reward wallets for different use cases—such as allowances, festive gifting, work from home benefits, etc., allowing for clear segregation and control of recognition funds.
</t>
    </r>
    <r>
      <rPr>
        <b/>
        <sz val="11"/>
        <color rgb="FF000000"/>
        <rFont val="Calibri"/>
        <scheme val="minor"/>
      </rPr>
      <t>Long Service Awards</t>
    </r>
    <r>
      <rPr>
        <sz val="11"/>
        <color rgb="FF000000"/>
        <rFont val="Calibri"/>
        <scheme val="minor"/>
      </rPr>
      <t xml:space="preserve">: Offer a complete long service awards module, allowing organizations to celebrate employee milestones with customized messages, gifts, experiences and our signature Service Yearbook.
</t>
    </r>
    <r>
      <rPr>
        <b/>
        <sz val="11"/>
        <color rgb="FF000000"/>
        <rFont val="Calibri"/>
        <scheme val="minor"/>
      </rPr>
      <t>SOLI Matrix (Standard of Living Index):</t>
    </r>
    <r>
      <rPr>
        <sz val="11"/>
        <color rgb="FF000000"/>
        <rFont val="Calibri"/>
        <scheme val="minor"/>
      </rPr>
      <t xml:space="preserve"> Ensure equitable and fair rewarding across countries using our SOLI-based model, which adjusts reward values based on local cost of living—ensuring fairness in global recognition programs.
</t>
    </r>
    <r>
      <rPr>
        <b/>
        <sz val="11"/>
        <color rgb="FF000000"/>
        <rFont val="Calibri"/>
        <scheme val="minor"/>
      </rPr>
      <t>Our recognition workflows</t>
    </r>
    <r>
      <rPr>
        <sz val="11"/>
        <color rgb="FF000000"/>
        <rFont val="Calibri"/>
        <scheme val="minor"/>
      </rPr>
      <t xml:space="preserve"> are fully customizable, supporting up to four levels of approvals, to accommodate organizational hierarchies and compliance needs. Panel Awards with voting-based workflows, ideal for quarterly or annual recognitions that require group-based decision making.
The platform also includes an extens</t>
    </r>
    <r>
      <rPr>
        <b/>
        <sz val="11"/>
        <color rgb="FF000000"/>
        <rFont val="Calibri"/>
        <scheme val="minor"/>
      </rPr>
      <t>ive global rewards catalo</t>
    </r>
    <r>
      <rPr>
        <sz val="11"/>
        <color rgb="FF000000"/>
        <rFont val="Calibri"/>
        <scheme val="minor"/>
      </rPr>
      <t>g, featuring Gift cards, merchandise, and experiences. Amazon integration for the USA and Canada, allowing recipients to redeem points directly on Amazon within our platform for a wide selection of products.
The platform offers deep integration with the Microsoft 365 ecosystem, enabling seamless user experiences within tools like Microsoft Teams and Outlook. Through this integration, employees can send and receive recognitions, and engage with peer activity—all without leaving their Microsoft 365 environment.
Additionally, the Vantage Recognition Agent for Microsoft 365 Copilot enhances productivity and engagement by leveraging AI-powered capabilities for recognition.</t>
    </r>
  </si>
  <si>
    <t>Nudges and Auto generation of citation</t>
  </si>
  <si>
    <t>Atif and Piyush</t>
  </si>
  <si>
    <t>It is a questionnaire that has come in from the prospect who needs us to provide answers on priority and submit it.</t>
  </si>
  <si>
    <t>Groww | Vantage RnR | Commercial Proposal</t>
  </si>
  <si>
    <t>Configuration of the Milestone catalogue for different type of employees/entities - Agents vs Non-Agents (Core).</t>
  </si>
  <si>
    <t>The client wants to showcase different items under the milestone catalogue for employees based on their role/category type.  Also they want us to confirm if they would need different instances for each category of employees (Agents vs Non-Agents) to be able to fulfil their Branded Merchandise and Gifting Requirements. Currently, they are using separate instances of HRIS and Slack for each set of employees across 3 different entities at Groww.</t>
  </si>
  <si>
    <t>Groww</t>
  </si>
  <si>
    <t>Mail conversation was ongoing. An approach note was created outlining creating 3 separate platform instances for the client post the client call.</t>
  </si>
  <si>
    <t>Branded Merchandise for different category of employees (Agent vs Non-Agents)</t>
  </si>
  <si>
    <t>Piyush and Himank</t>
  </si>
  <si>
    <t>Medium priority. They are currently exploring vendors for their merchandise and gifting.</t>
  </si>
  <si>
    <t>SYB discussion</t>
  </si>
  <si>
    <t>Adhoc Service Yearbook</t>
  </si>
  <si>
    <t>Amdocs wants to share goodies &amp; service yearbook hard copy to their employees at an annual event. The client also wants to restrict the service yearbook pdf to be triggered to the users on their work anniversary but the peer comments should be captured via share thoughts email so that the pdf hardcopy can be shared at event. (It was rejected by Product, not in raodmap cuurently)</t>
  </si>
  <si>
    <t>Amdocs</t>
  </si>
  <si>
    <t>To Product Closed</t>
  </si>
  <si>
    <t>After multiple internal discussions with Tech and Product Team a solution was proposed which could be productized later. It was dicsussed in the Tech Committee and handedover to product for more research and planned action.
Documentation created attached.</t>
  </si>
  <si>
    <t>A</t>
  </si>
  <si>
    <t>Service Yearbook</t>
  </si>
  <si>
    <t>Nitika</t>
  </si>
  <si>
    <t>a</t>
  </si>
  <si>
    <t>Link Requirement Documentation</t>
  </si>
  <si>
    <t>Link Approach Note</t>
  </si>
  <si>
    <t>Garima, Hemanga</t>
  </si>
  <si>
    <t>kadambini.sarma@vantagecircle.com</t>
  </si>
  <si>
    <t>Kadambini Sarma</t>
  </si>
  <si>
    <t>Solution Request 2115 Fort Gloster</t>
  </si>
  <si>
    <t>Identifying the type of award for two awards and customization of award workflow</t>
  </si>
  <si>
    <t xml:space="preserve">There are two awards: "Best Kaizen of the Month" and "Best Productivity Kaizen".
Under the 2nd award there are 8 departments from which 3 winners will be there. Need to understand the workflow for this award that could be followed and type of award we can create
For the 1st award, need to understand the type of award that can be created and also how to link with the 2nd award, so that top winners of the 2nd award will be the nominees for the 1st award. </t>
  </si>
  <si>
    <t>Fort Gloster</t>
  </si>
  <si>
    <t>After initial in-person discussion it was agreed to collect more information about the workflow from client.
As part of our ongoing effort to streamline and manage solution requests more efficiently, the Solutions team will begin closing inactive queries at the end of each calendar quarter.
What this means:
Any pending queries or requests that have had no activity or follow-up within the current quarter will be marked as closed.
Closed requests can always be resubmitted or reopened with new context, if needed.
This approach will help us maintain a clear and focused pipeline, and ensure timely attention to active queries.
Please feel free to reach out if you have any questions or concerns regarding this update.</t>
  </si>
  <si>
    <t>Award Workflow</t>
  </si>
  <si>
    <t>Urgent_Mercedes-Benz    Report queries</t>
  </si>
  <si>
    <t>Report Related Queries Mercedes</t>
  </si>
  <si>
    <t>1&gt; Removing filter "Manager" from Appreciation report and including a new filter "Appreciator"
2&gt; Removing filter "Awards" from Award Nomination Status report.
3&gt; Providing a definition of  the "Holder Type" filter in the new budget reports  to educate user about what does this filter mean.
4&gt;Data discrepancy issue.</t>
  </si>
  <si>
    <t>Mercedes</t>
  </si>
  <si>
    <t>The request needed changes at product level therefore it was passed on to Product Department after initial response from Pankaj.</t>
  </si>
  <si>
    <t>Dashboard Reports</t>
  </si>
  <si>
    <t>Pankaj</t>
  </si>
  <si>
    <t>parineeta.bhagabati@vantagecircle.com</t>
  </si>
  <si>
    <t>Parineeta Bhagabati</t>
  </si>
  <si>
    <t>Query 23.17 Bluestar Employee Profile</t>
  </si>
  <si>
    <t>Bluestar India would like to add Business Group and Location on the user profile.</t>
  </si>
  <si>
    <r>
      <rPr>
        <sz val="11"/>
        <color rgb="FF000000"/>
        <rFont val="Calibri"/>
        <scheme val="minor"/>
      </rPr>
      <t>In the user profile right now only name and department is visible. The client wants extra attributes to be shown for better identification like - Business Group and Location of the user. This is when the person is searched for in the "Search Bar"</t>
    </r>
    <r>
      <rPr>
        <sz val="11"/>
        <color rgb="FFED7D31"/>
        <rFont val="Calibri"/>
        <scheme val="minor"/>
      </rPr>
      <t xml:space="preserve"> --- Meeting to be arranged with Product team by Ankit</t>
    </r>
  </si>
  <si>
    <t>BLUESTAR INDIA</t>
  </si>
  <si>
    <t>It will be handled by the @Product Vantagecircle Team. 
After internal discussions regarding this request, we have identified the following merits and demerits:
Demerits:
This is a UI-level change that will impact all existing clients, potentially requiring coordination and communication.
Additional API calls may be necessary, which could affect overall system performance.
Not all clients may be comfortable exposing these details; in the past, some have explicitly restricted profile visibility.
Merits:
Provides a more comprehensive view of employees, enriching the user experience.
The data could support future enhancements in recognition workflows or personalized redemption flows.
Simplifies the selection process during recognition, especially when multiple users share the same name.</t>
  </si>
  <si>
    <t>New development in user profile</t>
  </si>
  <si>
    <t>Parineeta and Ankit</t>
  </si>
  <si>
    <t>Must need</t>
  </si>
  <si>
    <t>Initial assessment done and passed to product team</t>
  </si>
  <si>
    <t>kamalika.phukan@vantagecircle.com</t>
  </si>
  <si>
    <t>Kamalika Phukan</t>
  </si>
  <si>
    <t>Request for Automated Reminder Emails – MPAC (SSO Users)</t>
  </si>
  <si>
    <t>Automated Welcome Reminder Emails – MPAC</t>
  </si>
  <si>
    <t>The MPAC team has raised a new request. As they are using SSO-based login, they would like an automated reminder email to be sent to users who have not logged into the platform for a month.
(The problem was with the users have not consented, it was advised by Product Team to initiate internal communication from MPAC HRs and a list of employees' consent status was shared)</t>
  </si>
  <si>
    <t>MPAC</t>
  </si>
  <si>
    <t xml:space="preserve">We have reviewed the request and consider it to be a valid one for a reminder email. Coincidentally, the @Product Vantagecircle Team is planning to address this as part of a broader initiative. Therefore, they will be taking ownership of this request moving forward.
Requesting @Product Vantagecircle team to share the course of action and stipulated timelines.
</t>
  </si>
  <si>
    <t>canada</t>
  </si>
  <si>
    <t>Milestone</t>
  </si>
  <si>
    <t>If its sooner its helpful for the client</t>
  </si>
  <si>
    <t>samiran.hazarika@vantagecircle.com</t>
  </si>
  <si>
    <t>Samiran Hazarika</t>
  </si>
  <si>
    <t xml:space="preserve">Support Required on Award Configuration Feasibility – Bata </t>
  </si>
  <si>
    <t>1. Achievers League – Quarterly - Individual/Team Award
Client Request: Approval flow to go to the nominees’ respective HODs (for both individual and team awards), with budget allocation from the nominee's department.
Challenge from VC: Approval routing to each nominee's HOD is not feasible if team nominations involve cross-functional or cross-departmental members.
Proposed Alternative from VC:
Achievers League (Individual) – Approval to nominee’s HOD
Achievers League – Team – Approval to nominator’s HOD
Client Response: The client is not in agreement with the two-award workaround and insists on a unified award structure with approval to the nominee's HOD, regardless of individual or team award.
2. CEO Champions – Annual Award
Client Request: Multi-level approval involving HOD → CHRO → CEO.
Nominee eligibility is - Any employee who has received cross-functional 4 Monetary On-Spot Awards and a minimum of 1 Quarterly Award
Challenge from VC: This nominee's eligibility is not currently supported in the platform’s architecture.
Proposed Alternative from VC: Manual Points Upload via the dashboard using a CSV file. Extract of eligible users can be calculated based on a report from existing nomination and appreciation data.
Client Response: The client is not in agreement with the workaround and has expressed concerns that both features were indicated as feasible during the sales stage, leading to a sense of disconnect.</t>
  </si>
  <si>
    <t>Bata</t>
  </si>
  <si>
    <t>Achievers League – Quarterly - Individual/Team Award
The award configuration will remain unchanged, with the approval flow continuing to route to the respective HODs of the nominees, whether for individual or team awards. However, nominators will be required to select only one approver in the case of Team Awards. This approach is intended to prevent system conflicts, as sending approval requests to multiple approvers could lead to inconsistencies if even one approver rejects the nomination. Therefore, it is recommended that approval requests be routed to a single approver only.
The budget for the awards can be deducted from a centrally allocated budget.
CEO Champions – Annual Award
Before proposing a workaround for this, we want more information:
We understand the nomination eligibility, but who will have the nomination rights? ANS- RM
Is this a one-winner or multiple-winners award? ANS - Multiple Winners
Would it be multiple nominations for one winner or a case-by-case award? ANS - Case-by-case
Will it be multi-level, going from regional to national? ANS - 
Eligibility criteria based on prior award history are not currently available. Since this is an annual award, eligible employees may be identified through the Nomination Report or Manager Insights. Subsequently, nominators may proceed with the standard nomination process, which entails three levels of approval for each nominee.</t>
  </si>
  <si>
    <t>Award Customisation</t>
  </si>
  <si>
    <t>High Priority. As per the client that both features were indicated as feasible during the sales stage, leading to a sense of disconnect.</t>
  </si>
  <si>
    <t>Pankaj, Garima</t>
  </si>
  <si>
    <t>Multiple meetings and solutions in different mail chains</t>
  </si>
  <si>
    <t>prashansa.gokhale@vantagecircle.com</t>
  </si>
  <si>
    <t>Prashansa Gokhale</t>
  </si>
  <si>
    <t xml:space="preserve">Align RFP Questions </t>
  </si>
  <si>
    <t>Questions about Reporting</t>
  </si>
  <si>
    <t>Can multiple budgets be created and configured comprehensively based on budget type (global, org, country, manager, employee, # of subordinates, etc)? To answer this question, we need A list of all possible budget allocation and management use cases that are possible to configure, specifically addressing all of the parameters mentioned in brackets. 
Do you have a maintained data dictionary to define all reports and fields available?</t>
  </si>
  <si>
    <t>Align</t>
  </si>
  <si>
    <t>Answer to first question was shared in a doc link attached.
While we have technical documentation available for HRMS and API integrations, we currently do not maintain a client-ready data dictionary for reports and fields. However, we can source the necessary information from Gyanankush(Link 2), and our Product Marketing team can assist in compiling a shareable document for client use.</t>
  </si>
  <si>
    <t>US</t>
  </si>
  <si>
    <t>Reports</t>
  </si>
  <si>
    <t xml:space="preserve">Derrek </t>
  </si>
  <si>
    <t xml:space="preserve">This is for an RFP that's due next week, and this is a big opportunity. </t>
  </si>
  <si>
    <t>himadri.nath@vantagecircle.com</t>
  </si>
  <si>
    <t>Himadri Nath</t>
  </si>
  <si>
    <t>Sinyar (UAE) – User Access and Communication Options</t>
  </si>
  <si>
    <t>Is it feasible to send all Platform notifications to the users without email IDs over text message or WhatsApp? The client is based out of UAE.</t>
  </si>
  <si>
    <t>To summarise, Sinyar has a population with no corporate email ID. They consider these as Nonfunctional mail IDs": Email exchange not activated.
We have proposed using a "Personal email ID" for this group of people
Employee ID (employee code) will be the primary identifier
SSO and HRIS will be in phase 2 and currently for Go Live they will use Login via Employee ID and password (which will be sent to personal email id)
Below are the questions which @Parshi has responded. Kindly let us know if this is good to go.
we would like to understand the applications flexibility &amp;/or support for the scenario where Users have nonfunctional mail IDs(They do have EMP ID) &amp; can be enabled /On boarded onto the application?
--&gt; VC team will enable public email domain and Sinyar team to share the public email ids for the users who don't have corporate email id.
2.If they can be Onboarded onto the application, how will the user receive the User ID &amp; Password? --&gt; Credentials will be shared to their registered personal email id.
3. Can such users access the application via web browser &amp; VC Mobile App?  --&gt; Yes
4. Will they get the Rewards/Awards Process related alerts/notifications? --&gt; Yes (Sent to personal email id)
5. Will there be any communication GAPS for such users? If YES, could you give us an example for a better understanding. --&gt; No
Requirement - Is it feasible to send notifications to the users without email IDs over text message or WhatsApp? The client is based out of UAE.</t>
  </si>
  <si>
    <t>Sinyar</t>
  </si>
  <si>
    <t xml:space="preserve">
For users who do not have email IDs, we will register them using the format: noemail_employeeid@sinyaruae.com. These users will be able to log in using a common password (e.g., "welcome"), which HR will needs to communicate to each user individually.
Once logged in, users can change their password using the chat support functionality available on the platform.
User will be able to access the notifications on mobile app and the gift card redemption details as well.</t>
  </si>
  <si>
    <t>UAE (AED)</t>
  </si>
  <si>
    <t>Trigger Platform Notification via Whatsapp or Phone Number for ROW clients (UAE)</t>
  </si>
  <si>
    <t>Parshi (Implementation), Asif (Sales)</t>
  </si>
  <si>
    <t>Mail Subject Line : Sinyar (UAE) – User Access and Communication Options</t>
  </si>
  <si>
    <t>Pankaj, Hemanga</t>
  </si>
  <si>
    <t>Sinyar&lt;&gt;Feed Filter Requirement</t>
  </si>
  <si>
    <t xml:space="preserve">Addition of a third feed filter
</t>
  </si>
  <si>
    <t>There is a requirement from Sinyar regarding the filter section in the platform's feed. Currently, the filter includes options for "All Dept" and "BU." Sinyar has three entities — Hospitality, Property Management, and Jaheziya — and they would like to know if these can be added as filter options or can be incorporated under BU.
In addition to the said requirement, please also confirm if any of the filters can be set as default view for the end users.</t>
  </si>
  <si>
    <t>As mentioned previously by Hemanga, a third filter for Entity can be implemented for the client to enable users to filter the feed to view either 'All Entities' or 'My entity'. 
Additionally, a default filter can be applied to the feed based on the entity. Employees may change this filter to suit their preferences, and their selection will be retained for future logins.</t>
  </si>
  <si>
    <t>UAE (in AED)</t>
  </si>
  <si>
    <t>Feed Filter</t>
  </si>
  <si>
    <t>Parshi (Imp), Asif (Sales)</t>
  </si>
  <si>
    <t>High and a must-have feature for the client</t>
  </si>
  <si>
    <t>Hemanga, Garima</t>
  </si>
  <si>
    <t>29.23 Bosch Service Charge intimation</t>
  </si>
  <si>
    <t xml:space="preserve">Bosch BGSW is asking if we can have a flyer/Intimation screen for employees when they go on redemption page telling employees there is 2% service charge on redemption for Amazon &amp; Flipkart
 </t>
  </si>
  <si>
    <t xml:space="preserve">Bosch BGSW is asking if we can have a flyer/Intimation screen for employees when they go on redemption page telling employees there is 2% service cahrge on redemption for Amazon &amp; Flipkart
 </t>
  </si>
  <si>
    <t>Bosch BGSW</t>
  </si>
  <si>
    <t>We’ve discussed this internally, and for now, we can implement a hardcoded banner on the Gift Card Redemption page with a message like:
"Service Charge applicable on Flipkart and Amazon gift cards."
A screenshot is attached indicating the placeholder for the banner.
Please note that if the Service Charge is removed or changes are made in the future, it will be the responsibility of the respective client SPOC to monitor this customization and request any necessary edits or removal based on the updated scenario.</t>
  </si>
  <si>
    <t>Employees are redeeming points &amp; afterwards they are realising additional points are getting debited</t>
  </si>
  <si>
    <t>Clarification Required on Award Restrictions, Limits, and Notifications</t>
  </si>
  <si>
    <t>Need to confirm on some existing features and check on feasibility on some other features</t>
  </si>
  <si>
    <t xml:space="preserve">
Award Restrictions:
Can a user be completely restricted from receiving any awards at all? I understand limits can be set, but the client is checking if a complete restriction is possible. Additionally, can we also restrict the number of points someone can receive, separate from awards?
Award Limit Visibility:
While giving an award, is there any way to check how many awards the recipient is still eligible to receive as per the set limits?
Manager Notifications:
Is it possible to trigger an automated email notification to a manager whenever their report receives a badge or award? If yes, would this still work if the post was marked as private?
Looking forward to your clarification so I can get back to the client accurately.</t>
  </si>
  <si>
    <t>Weaver</t>
  </si>
  <si>
    <t>Award Restrictions:
Can a user be completely restricted from receiving any awards at all? I understand limits can be set, but the client is checking if a complete restriction is possible. Additionally, can we also restrict the number of points someone can receive, separate from awards?
Response: We can restrict Awards by Department, Gender, Grade Group, and Entity through the Advanced Filtering option on the dashboard. If a user(or a group of users) does not qualify as per these restrictions, then they are automatically restricted completely. When such users are selected in the award workflow, no awards will be displayed since the criteria are not met.
Additionally, it is possible to restrict the total number of points a user can receive. This limit can be customized separately by country, based on a customizable time period (in days), and is applied across all users. Please note that this configuration requires testing to ensure proper implementation.
Award Limit Visibility:
While giving an award, is there any way to check how many awards the recipient is still eligible to receive as per the set limits?
Response: No, it can not be checked through the system. Once the recipient crosses the set limits, and someone tries to award them, the system will throw an error message.
Manager Notifications:
Is it possible to trigger an automated email notification to a manager whenever their report receives a badge or award? If yes, would this still work if the post was marked as private?
Response: Automated email notifications can be sent to Reporting Managers using the CC Matrix, and it would still work if the post was marked as private.</t>
  </si>
  <si>
    <t>Asap as the client is on the verge of selecting a vendor</t>
  </si>
  <si>
    <t>abhisek.sharma@vantagecircle.com</t>
  </si>
  <si>
    <t>Abhisek Sharma</t>
  </si>
  <si>
    <t>Client Queries</t>
  </si>
  <si>
    <t xml:space="preserve">Manager Leaderboard:
They would like a dedicated leaderboard showcasing manager-level activities, specifically highlighting which managers have given the most recognition which should be visible by HRs.
Profile Badge Logic:
They’re looking to implement logic for profile badges based on an organization-wide average. The idea is to award badges to users based on the number of recognitions they’ve received relative to this average.
</t>
  </si>
  <si>
    <t>Same as above</t>
  </si>
  <si>
    <t>Reliance Industries</t>
  </si>
  <si>
    <t>The information is accessible on the Dashboard in two sections: Overview, which highlights the top 5 awarding managers (based on both monetary and non-monetary recognitions), and Insights, which lists all managers ranked by their recognition activity. In the Insights section, data can be sorted by the number of recognitions or total award points. Screens are attached for reference.
Badges are assigned quarterly to the top 10% of users in each category, based on engagement. This ensures a fair, consistent, and scalable system across all users and organizations.
At this stage, the badge logic remains standardized to support a seamless experience. However, the @Product Vantagecircle Team would like to keep the clients informed and collect early feedback when they start working in that direction.</t>
  </si>
  <si>
    <t>Priority 2</t>
  </si>
  <si>
    <t>vijay.sihag@vantagecircle.com</t>
  </si>
  <si>
    <t>Vijay Sihag</t>
  </si>
  <si>
    <t>Few Clarifications needed</t>
  </si>
  <si>
    <t>Ticker band on Home page 
AV in announcement on news feed page  
Gif banner 
Team Leaderboards</t>
  </si>
  <si>
    <t>Ticker band on Home page - Similar to what you see on a news channel. I think we have something similar on redemption page as well
AV in announcement on news feed page   (self explanatory)
Gif banner (self explanatory)
Team Leaderboards just like individual leaderboard for thier team awards as they have many team awards</t>
  </si>
  <si>
    <t>ICICI Lombard</t>
  </si>
  <si>
    <t xml:space="preserve">Ticker Band on Home Page – While we currently do not support a running ticker, we do offer two types of banner placements:
A rectangular banner on top of the homepage, or
A right-side panel banner beside the feed.
Either of these can be used to convey short messages  prominently.
AV in Announcement on News Feed Page – Audio-visual content (e.g., videos) can be embedded in announcements. However, please note that this content will open and play in a separate browser tab to ensure optimal performance across devices.
GIF Banner – This is supported. We recommend optimized GIFs to maintain platform speed and responsiveness ideally less than 500kb
Team Leaderboards – Based on our conversation, it seems the organization has multiple teams and would like to visualize overall team standings (e.g., Team A – 1st, Team B – 5th).
Unfortunately, we do not support cross-team ranking in that format currently.
However, we can implement a third-level filter (e.g., Department, Zone, or Team Name) within the feed and leaderboard. This would allow users to view their personal ranking within their own team context.
Example:
Suppose Rohan is part of Team B. When he accesses the leaderboard, applying the 'Team B' filter will allow him to see where he stands compared to others in his team—e.g., Rohan is ranked 3rd out of 20.
While this doesn't rank teams against each other, it gives meaningful insight at an individual-team level.
</t>
  </si>
  <si>
    <t>Ticker band on Home page  AV in announcement on news feed page   Gif banner  Team Leaderboards</t>
  </si>
  <si>
    <t>Client Onboarded</t>
  </si>
  <si>
    <t>Client Workflow</t>
  </si>
  <si>
    <t>Workflow details of client shared to check for feasibility.</t>
  </si>
  <si>
    <t>Details provided on email.</t>
  </si>
  <si>
    <t>ABB</t>
  </si>
  <si>
    <t>Document sent</t>
  </si>
  <si>
    <t>Workflow</t>
  </si>
  <si>
    <t>1</t>
  </si>
  <si>
    <t>Solution_Request_3428_Godrej Capital</t>
  </si>
  <si>
    <t>Client has shared some queries on the possibility of some of the workflows as detailed below</t>
  </si>
  <si>
    <t>1. Can we define rules for shortlisting of nominations? I can share the guidelines for a good nomination to be included while shortlisting. Currently, the process of shortlisting from 2000 to 100 nominations is manual which we want to automate.- 
2. Wall of Fame for previous nominations / winners/ pictures (Branch HRBPs should be allowed access)
Can it be used for live streaming of awards function?
3. WhatsApp integration available?
4. Mobile app available?
5. Can it be used by vendors (channel partners, IT service providers) for nominations- employees/ partners sitting outside of the organisation network?
6. Is the E-sign feature available for authorized signatories- CTO, CHRO, etc. ?
7. Are the award certificates template customizable? What all can be customized? Can an employee customize or is it only the admin?
8. Can the platform be used for Anniversaries / Birthdays / travelogues?</t>
  </si>
  <si>
    <t>Godrej Capital</t>
  </si>
  <si>
    <t>#2. Live Streaming of Award Functions
The platform doesn’t support live streaming natively from the leaderboard or Wall of Fame, as these are meant to display awards and badges post-recognition.
However, the Announcement section can be used to share external live stream links (e.g., Zoom, Teams, YouTube Live) so employees can join the event from within the platform. This provides a simple workaround for real-time participation while keeping the platform structure intact.
#6. E-Signature Support for Certificates
While we don’t have native e-signature integrations (e.g., DocuSign), the platform does support uploading certificate templates that are pre-signed by leadership (e.g., CTO/CHRO).
Additionally, certificates can be customized via the admin dashboard — but only by users with the appropriate role permissions. Available customizable fields include:
Reward Name
Reward Image
Awardee Name
Recognition Message
Awarded By / Approved By / Nominated By
Award Value
Issue Date
Certificate Message
Award Points
City.</t>
  </si>
  <si>
    <t>1
They are on advanced stages of discussion and this is part of process before MSA execution.</t>
  </si>
  <si>
    <t>Solution_Request_3529_Bosch RBIN</t>
  </si>
  <si>
    <t>Report access to managers instead of Admin Access</t>
  </si>
  <si>
    <r>
      <rPr>
        <sz val="11"/>
        <color rgb="FF000000"/>
        <rFont val="Calibri"/>
        <scheme val="minor"/>
      </rPr>
      <t>we currently have only Superadmin &amp; admin access; person with admin access can go &amp; make many admin level changes. This issue has come up at Bosch RBIn where 1 of the user activated SYB from the dashboard. -</t>
    </r>
    <r>
      <rPr>
        <sz val="11"/>
        <color rgb="FFED7D31"/>
        <rFont val="Calibri"/>
        <scheme val="minor"/>
      </rPr>
      <t>-- A role will created for viewing only reports in dashboard.</t>
    </r>
  </si>
  <si>
    <t>Bosch RBIN &amp; this can be an ideal use case for all the clients</t>
  </si>
  <si>
    <t>Our Understanding (as captured from the solution request form):
The current access hierarchy on the platform includes only Superadmin and HR Admin roles. Users with HR Admin access can make configuration-level changes on the dashboard, which may not be suitable for all users. This has led to issues like the one reported at Bosch RBIN, where an HR Admin-level user unintentionally activated the SYB workflow.
There is a clear need to introduce a new —“Report Viewer”—that provides access only to reports and dashboards without any configuration rights. This would enable managers and similar personas to access necessary data insights while ensuring platform integrity is maintained.
This is being raised as a must-have feature and is applicable not just for Bosch but as a scalable access model for all clients.
Next Steps:
Looping in @Nayan &amp; @Armaan to evaluate the feasibility and approach for introducing this new role and the possibility of a roadmap addition.</t>
  </si>
  <si>
    <t>Reportviewer access</t>
  </si>
  <si>
    <t>ankit mehta, nabab sharif, priyakshi</t>
  </si>
  <si>
    <t>medium - its a must have feature</t>
  </si>
  <si>
    <t>SOLI configuration challenges and workaround | Aspire Systems</t>
  </si>
  <si>
    <t>We are currently working on a client implementation that involves configuring awards across multiple geographic locations, with USD, INR, and other countries currency currency values.
During the setup, we encountered a challenge where certain awards have the same USD value but different INR equivalents. For example:
Star Gladiator Award: USD 500 / INR 5,000
10 Year Anniversary Award: USD 500 / INR 10,000
As per SOLI configuration rules, a unique USD value can not be mapped to different INR values.
We’ve explained this limitation to the client; however, they are firm in their stance. They’ve indicated that modifying the INR or USD values is not an option, as it would impact long-standing internal frameworks and require high-level approvals that are not feasible at this stage. They’ve requested that we proceed with configuring the awards exactly as specified.
Given this constraint, we seek your guidance on how best to proceed. Are there any workarounds or possible exceptions within the SOLI framework that could accommodate this requirement? Alternatively, would a customization or override be possible to allow duplicate USD values with different INR equivalents?
Appreciate your input on how we can move forward while aligning with both the system’s constraints and the client’s requirements.</t>
  </si>
  <si>
    <t>Aspire Systems</t>
  </si>
  <si>
    <t>Open</t>
  </si>
  <si>
    <t>The mapping of denomination to value has to be unique and it can not be altered. The complete list of Award values has been asked from the Client to find a workaround by mapping closest or next higher/lower denomination to the required value if possible.
Additionally, country-wise tenure award configuration development (like catalog) has been initiated. It may be be availble for the go live of this client.</t>
  </si>
  <si>
    <t>SOLI configuration</t>
  </si>
  <si>
    <t>Highest</t>
  </si>
  <si>
    <t>vijayendra.borthakur@vantagecircle.com</t>
  </si>
  <si>
    <t>Removal of Panel voters/Approver details during the nomination process</t>
  </si>
  <si>
    <t>It has been requested to remove the nomination workflow page that currently displays approver details for Standard Awards and panel voter information for Panel Awards.</t>
  </si>
  <si>
    <t>We’ve received a few client requests to remove the page in the nomination process that displays the details of the approver (for standard awards) or panel voters (for panel awards) on the platform.
Here are the two specific requests:
Mitsogo/Hexnode Technologies:
The Mitsogo team is using Panel Awards on their platform. Currently, during the nomination process, nominators can view the list of panel voters/approvers. They have requested that this page be removed, as they do not want nominators to see this information. This is a critical requirement for them, and they may not be able to launch Panel Awards without this change.
Antara Senior Care:
Antara has auto-approved awards configured. In such cases, the system currently shows the nominator’s name as the approver, which causes confusion. They have requested to hide this detail as it doesn’t serve a meaningful purpose. This is also an important ask from the client.</t>
  </si>
  <si>
    <t>Mitsogo Technologies and Antara Senior Care</t>
  </si>
  <si>
    <t>It is possible to skip the Approver window. Doing so will skip the CC box in that window too. 
It has been put to testing and once confirmed will be implemented for both the clients.</t>
  </si>
  <si>
    <t>Deployed</t>
  </si>
  <si>
    <t>neha.phookan@vantagecircle.com</t>
  </si>
  <si>
    <t>Neha Phookan</t>
  </si>
  <si>
    <t>Feasibility Check: Additional LTTS Standing Ovation Mailer Trigger</t>
  </si>
  <si>
    <t xml:space="preserve">Email trigger prior to 30 days of date of completion of LSA. 
</t>
  </si>
  <si>
    <t>We’ve received a request from our client LTTS to enhance the current mailer trigger schedule for their Standing Ovation employees. 
At present, the mailers are triggered 15 days and 7 days prior to the date of completion of the milestone.
They would now like to include an additional trigger 30 days prior to the milestone completion date as well.</t>
  </si>
  <si>
    <t>LTTS</t>
  </si>
  <si>
    <t>Estimation is being done for old and new both approaches. SCD has been updated.
The previous approach has been approved by the management at no development cost in SHRM May'25, and the updated document has been shared with Ankit for the monthly trigger apporach for entire month's service anniversaries.</t>
  </si>
  <si>
    <t>Email trigger prior to 30 days of date of completion of LSA</t>
  </si>
  <si>
    <t>Atif Ayubi</t>
  </si>
  <si>
    <t>Garima, Pankaj, Hemanga</t>
  </si>
  <si>
    <t>Solution Request 3933 Employee Points Report Edelman</t>
  </si>
  <si>
    <t xml:space="preserve">
Employee Points Report – Grade Groups and Managers in the frontend view of the dashboard</t>
  </si>
  <si>
    <t>Requesting your confirmation on whether we can include grade groups and managers in the Employee Points Report in the frontend view of the dashboard for Edelman Financial Engines</t>
  </si>
  <si>
    <t>Edelman Financial Engines (1648)</t>
  </si>
  <si>
    <t>Client wishes to include Grade Group and Manager as filter in the Report for Employee Points Report. This will be handled by Product Team.</t>
  </si>
  <si>
    <t>RnR</t>
  </si>
  <si>
    <t>High because this client has already multiple problems with report</t>
  </si>
  <si>
    <t>Preetisha.bordoloi@vantagecircle.com</t>
  </si>
  <si>
    <t>Amdocs Enhancement</t>
  </si>
  <si>
    <t>In the MS Teams mobile version, the "Redeem Points" option should be made more prominent and easily visible to users. The current placement and visibility are not intuitive, which may lead to reduced engagement. The objective is to enhance discoverability and ensure seamless access to the feature on mobile devices.</t>
  </si>
  <si>
    <t>Amdocs Management limited</t>
  </si>
  <si>
    <t>We explored the possibility of a quick fix to make the wallet button more prominent with the Product Team and the Tech Team, but it appears that enhancing it would require significant development effort. As a result, this change can only be implemented once the Product Team includes it in the roadmap as a major UI enhancement for the Vantage Rewards app in Teams.
@Ankur Ray it would help our PACE team if we could give a tentative timeline for this so that the client is assured of the development. Please discuss and let us know if that is possible.</t>
  </si>
  <si>
    <t>Global</t>
  </si>
  <si>
    <t>redeem points</t>
  </si>
  <si>
    <t>medium</t>
  </si>
  <si>
    <t>Solution Request 4135 MPAC Customized Reports</t>
  </si>
  <si>
    <t>MPAC has requested a report that includes unique logins, showing which users are active and who is commenting—essentially tied to their employee IDs. While we already provide usage counts and other metrics, they specifically need visibility into individual employee IDs in the report.</t>
  </si>
  <si>
    <t>A custom automated report suggestion has been given to Kamalika to be forwarded to the Client once approved a weekly like, comment and login detail report will be sent to the client.</t>
  </si>
  <si>
    <t>CANADA</t>
  </si>
  <si>
    <t>MILESTONE</t>
  </si>
  <si>
    <t>kamalika phukan</t>
  </si>
  <si>
    <t>Need an ETA atleast when can we provide this report</t>
  </si>
  <si>
    <t>Budget Holder  Access Enhancement</t>
  </si>
  <si>
    <t xml:space="preserve">1) Sabbatical use case for Milestone(Points, SYB)
2) View for Manager with double budget </t>
  </si>
  <si>
    <t xml:space="preserve">1) Employees who take Sa abbatical shouldn't receive the Milestone benefits  (This has already been worked upon, extended call with clients already conducted- Gyan is in sync for working out a solution- however, they have asked to drive it through SOlutioning &amp; Product team) - Will share emailer with Solutioning team
2) Many managers(around 250) at Bosch have 2 department budgets as they are leading different departments, however in the platform view it only shows one department budget. Also, the deduction happens from the 1st Department budget. Client wants both Department Budgets to be shown &amp; an option to select the department budget from which they want deduction to happen. </t>
  </si>
  <si>
    <t>We understand that they are currently facing the following issues:
Individuals with access to multiple department budgets can only view the primary budget assigned to them. (Not possible in the current UI)
The award value for a nominee from Department A is being deducted from Department B’s budget. (Since they can not select budget at the time of awarding)
Budget Holders want to use leftover funds from Department A to recognize nominees from other departments. (Department budget to be used as common budget)
To solve this issue, it would be helpful to understand:
Rationale behind having a department-wise budget. 
Current billing system.
What is the actual need WRT the budget? This customization was done at the time of implementation, and our system has evolved since.
As per our discussion today, please schedule a meeting with the cli</t>
  </si>
  <si>
    <t xml:space="preserve">Both are priority item </t>
  </si>
  <si>
    <t>Was passed on to product after the client call on 9th July</t>
  </si>
  <si>
    <t>aditi.sharma@vantagecircle.com</t>
  </si>
  <si>
    <t>Aditi Sharma</t>
  </si>
  <si>
    <t>Query 4337 JSW Energy Workflow</t>
  </si>
  <si>
    <t>The award workflow document is to be discussed.</t>
  </si>
  <si>
    <t>Employee:	View	eligible	awards,	submit	self/peer	nomination,	track	status
• Manager:	Submit	nominations,	endorse	with	input,	and view	submissions	from	their	team
• HOD:	Approve	or	comment	on	nominations,	flag	ineligible	cases
• Jury	Member:	View	assigned	nominations,	score	based	on	defined	criteria,	and add	optional	
comments
• Admin	(HR/IT):	Launch	award	cycles,	configure	award	types,	control	access	rights,	
track	completion,	generate	reports
• Team	Nominations:	Add	multiple	employees	under	one	award	submission,	and assign	roles.</t>
  </si>
  <si>
    <t>JSW Energy</t>
  </si>
  <si>
    <r>
      <rPr>
        <sz val="11"/>
        <color rgb="FF000000"/>
        <rFont val="Calibri"/>
        <scheme val="minor"/>
      </rPr>
      <t xml:space="preserve">The workflow was discussed on call and the open items replied on mail.
</t>
    </r>
    <r>
      <rPr>
        <b/>
        <sz val="11"/>
        <color rgb="FF000000"/>
        <rFont val="Calibri"/>
        <scheme val="minor"/>
      </rPr>
      <t>Provision for ineligible cases</t>
    </r>
    <r>
      <rPr>
        <sz val="11"/>
        <color rgb="FF000000"/>
        <rFont val="Calibri"/>
        <scheme val="minor"/>
      </rPr>
      <t xml:space="preserve">: Apart from the advanced filters, we do not have eligibility mapping, and it is not in the roadmap either.
</t>
    </r>
    <r>
      <rPr>
        <b/>
        <sz val="11"/>
        <color rgb="FF000000"/>
        <rFont val="Calibri"/>
        <scheme val="minor"/>
      </rPr>
      <t xml:space="preserve">Provision for comments:
</t>
    </r>
    <r>
      <rPr>
        <sz val="11"/>
        <color rgb="FF000000"/>
        <rFont val="Calibri"/>
        <scheme val="minor"/>
      </rPr>
      <t xml:space="preserve">For the </t>
    </r>
    <r>
      <rPr>
        <b/>
        <sz val="11"/>
        <color rgb="FF000000"/>
        <rFont val="Calibri"/>
        <scheme val="minor"/>
      </rPr>
      <t>Standard Award workflow</t>
    </r>
    <r>
      <rPr>
        <sz val="11"/>
        <color rgb="FF000000"/>
        <rFont val="Calibri"/>
        <scheme val="minor"/>
      </rPr>
      <t xml:space="preserve">, if an Approver rejects an award, they have to give a reason for rejection.
</t>
    </r>
    <r>
      <rPr>
        <b/>
        <sz val="11"/>
        <color rgb="FF000000"/>
        <rFont val="Calibri"/>
        <scheme val="minor"/>
      </rPr>
      <t>For Panel Awards</t>
    </r>
    <r>
      <rPr>
        <sz val="11"/>
        <color rgb="FF000000"/>
        <rFont val="Calibri"/>
        <scheme val="minor"/>
      </rPr>
      <t xml:space="preserve">, if using the start rating method, up to two questions can be included for Approvers/Voters to answer that will be visible to the Winner Selector.
</t>
    </r>
    <r>
      <rPr>
        <b/>
        <sz val="11"/>
        <color rgb="FF000000"/>
        <rFont val="Calibri"/>
        <scheme val="minor"/>
      </rPr>
      <t>Jury Scoring Dashboard:</t>
    </r>
    <r>
      <rPr>
        <sz val="11"/>
        <color rgb="FF000000"/>
        <rFont val="Calibri"/>
        <scheme val="minor"/>
      </rPr>
      <t xml:space="preserve"> As discussed, we do not have this, nor is it in the roadmap. However, we do have a Panel Nomination Report. The Client can use this data.
</t>
    </r>
    <r>
      <rPr>
        <b/>
        <sz val="11"/>
        <color rgb="FF000000"/>
        <rFont val="Calibri"/>
        <scheme val="minor"/>
      </rPr>
      <t>Gender-wise reports:</t>
    </r>
    <r>
      <rPr>
        <sz val="11"/>
        <color rgb="FF000000"/>
        <rFont val="Calibri"/>
        <scheme val="minor"/>
      </rPr>
      <t xml:space="preserve"> We do not have any gender-wise filter for reports. However, if the Client shares gender information in the employee details, we can add this column to customize the Appreciation and Award Nomination Reports. Client HR can download the report and filter data accordingly.
</t>
    </r>
    <r>
      <rPr>
        <b/>
        <sz val="11"/>
        <color rgb="FF000000"/>
        <rFont val="Calibri"/>
        <scheme val="minor"/>
      </rPr>
      <t>Award specific form for nomination</t>
    </r>
    <r>
      <rPr>
        <sz val="11"/>
        <color rgb="FF000000"/>
        <rFont val="Calibri"/>
        <scheme val="minor"/>
      </rPr>
      <t>: While we do not have any such functionality, if the Client wishes to use a standard format, then they can use the filled form as an attachment with Business Justification while nominating from the platform.</t>
    </r>
  </si>
  <si>
    <t>R&amp;R</t>
  </si>
  <si>
    <t xml:space="preserve">Aditi </t>
  </si>
  <si>
    <t>Initial discussion.</t>
  </si>
  <si>
    <t>riki.chetia@vantagecircle.com</t>
  </si>
  <si>
    <t>Riki Chetia</t>
  </si>
  <si>
    <t>Solution Request 4438 Country Budget Visibility</t>
  </si>
  <si>
    <t>Currently, the available budget in the common wallet is only visible either through reports or while adding budgets via the upload budget tab. This creates a challenge for HR SPOCs, who need to switch between tabs frequently before releasing any points through CSV uploads.
Since the common wallet is associated with a dummy user, it would be highly beneficial to display the remaining budget in these wallets—broken down by country—directly on the dashboard. This would streamline the reward process, making it faster and more efficient, while also reducing dependency on CSMs.
As most uploads happen during off-hours, CSMs are not always available to top up the wallets—an action that can currently only be done by Vantage Account Managers. This limitation creates a bottleneck, resulting in delayed point disbursement and a suboptimal experience for users.</t>
  </si>
  <si>
    <t xml:space="preserve">Real time budget display will help planning the upload points in a much more structured way. all the add-on request can com in early and dependencies can be reduced from the account managers end. </t>
  </si>
  <si>
    <t xml:space="preserve">Digital people/ Sartorious/ Tata tele services / MSAF </t>
  </si>
  <si>
    <t>The issue was discussed and it was agreed to show the selected country budget in the Bulk upload window under the OVerall section in the Dashboard.
Following our discussion, the plan was to display country-wise budgets on the Bulk Allocate and Bulk Upload pages in the Dashboard.
However, after consulting with the Tech team, we’ve realized this approach may not address the core issue. Your request essentially requires a user-level view of the current balances for Dummy Budget Holders.
At present, we don't have a mechanism to distinguish dummy users from real ones. That said, we are exploring the possibility of generating a report that provides a user-level view of the current balance for all users.
We’ll keep you updated as we make progress on this.
After consulting with our Tech and R&amp;D teams, we’ve confirmed that real-time reports cannot currently be hosted on the Dashboard.
We can display country and department-level budget information within the Bulk Allocate workflow on the Dashboard.
For user-level budget availability, HR admins will need to download the Budget Report. Please note that all reports are indexed every 24 hours.</t>
  </si>
  <si>
    <t>India/Srilanka</t>
  </si>
  <si>
    <t xml:space="preserve">Common wallet budget display </t>
  </si>
  <si>
    <t>Riki</t>
  </si>
  <si>
    <t xml:space="preserve">P2 </t>
  </si>
  <si>
    <t>CX</t>
  </si>
  <si>
    <t>Garima, Pankaj, Bhargav</t>
  </si>
  <si>
    <t>Solution Request 4539 Reminder Mail for Approvers</t>
  </si>
  <si>
    <t>Reminder notifications/email/alert under to-do-list for approvers to approve the pending awards.</t>
  </si>
  <si>
    <t xml:space="preserve">I'd like to request an enhancement related to the nomination approval process on the platform. Currently, approvers do not receive consistent reminders for pending nominations, which often leads to delays in the overall recognition flow.
To address this, it would be beneficial to implement an automated reminder email system that notifies approvers at a set frequency (e.g., every 3 or 5 days) until action is taken on the pending nominations. Ideally, the frequency and the number of reminders could be configurable based on the organization's preference. or a notification or display of red abstract in the to-do list segment. 
This feature would help ensure timely approvals and improve the overall user experience and engagement with the platform. We have also received these as a request from the clients.
Please feel free to let me know if you need any additional context or if we can discuss this further.
</t>
  </si>
  <si>
    <t>Perceptive / dal</t>
  </si>
  <si>
    <t xml:space="preserve">The issue was discussed and it has been agreed to work on a common reminder to approvers via mail and whatsapp.
A reminder mail already exists. It has to be deployed for EU US (All) server. </t>
  </si>
  <si>
    <t>USD/INR</t>
  </si>
  <si>
    <t>Approvers Nudge</t>
  </si>
  <si>
    <t>P2</t>
  </si>
  <si>
    <t>Pankaj, Bhargav</t>
  </si>
  <si>
    <t>Solution Request 4640 Clarification on Award Eligibility Restrictions and Admin Visibility for Recipient Limits</t>
  </si>
  <si>
    <t>Client seeks clarity on role-based award restrictions and admin visibility into recipient award limits before assignment.</t>
  </si>
  <si>
    <t>Client Query:
Can we restrict our partners or some users from receiving Monetary Award?
Our Response:
We can restrict Awards by Department, Gender, Grade Group, and Entity through the Advanced Filtering option on the dashboard. If a user (or a group of users) does not qualify as per these restrictions, then they are automatically restricted completely. When such users are selected in the award workflow, no awards will be displayed since the criteria are not met.
Client’s follow-up inputs and specific requirements (along with my internal notes for clarity):
1. Interns/Contractors – Should be completely excluded from the system. (possible)
2. Partners – Should not be eligible to receive awards but can distribute points/awards. (Need clarity)
3. Eligibility to Distribute Points – Only users at Senior level and above should have the ability to distribute points. Those below Senior level should only be able to receive them. (possible)
Client Query:
While giving an award, is there any way to check how many awards the recipient is still eligible to receive as per the set limits?
Our Response:
No, it cannot be checked through the system. Once the recipient crosses the set limits and someone tries to award them, the system will throw an error message.
Client’s follow-up question:
"I know the employee will not have this visibility, but will anyone who has admin rights be able to see when a recipient has met their award limit for that quarter?" (Need clarity)</t>
  </si>
  <si>
    <t>Weaver (Team USA)</t>
  </si>
  <si>
    <r>
      <rPr>
        <sz val="11"/>
        <color rgb="FF000000"/>
        <rFont val="Calibri"/>
        <scheme val="minor"/>
      </rPr>
      <t xml:space="preserve">Client’s follow-up inputs and specific requirements:
Interns/Contractors - Should be completely excluded from the system.
</t>
    </r>
    <r>
      <rPr>
        <b/>
        <sz val="11"/>
        <color rgb="FF000000"/>
        <rFont val="Calibri"/>
        <scheme val="minor"/>
      </rPr>
      <t xml:space="preserve">Input: Yes, this is feasible and can be implemented.
</t>
    </r>
    <r>
      <rPr>
        <sz val="11"/>
        <color rgb="FF000000"/>
        <rFont val="Calibri"/>
        <scheme val="minor"/>
      </rPr>
      <t xml:space="preserve">
Partners - Should not be eligible to receive awards but can distribute points/awards. 
</t>
    </r>
    <r>
      <rPr>
        <b/>
        <sz val="11"/>
        <color rgb="FF000000"/>
        <rFont val="Calibri"/>
        <scheme val="minor"/>
      </rPr>
      <t xml:space="preserve">Input: Additional clarification is required on the role and access level of Partners.
</t>
    </r>
    <r>
      <rPr>
        <sz val="11"/>
        <color rgb="FF000000"/>
        <rFont val="Calibri"/>
        <scheme val="minor"/>
      </rPr>
      <t xml:space="preserve">
Eligibility to Distribute Points - Only users at Senior level and above should have the ability to distribute points. Those below Senior level should only be able to receive them. 
</t>
    </r>
    <r>
      <rPr>
        <b/>
        <sz val="11"/>
        <color rgb="FF000000"/>
        <rFont val="Calibri"/>
        <scheme val="minor"/>
      </rPr>
      <t xml:space="preserve">Input: Yes, this is accurate. We can restrict nominators at Grade Level to distribute points as awards.
</t>
    </r>
    <r>
      <rPr>
        <sz val="11"/>
        <color rgb="FF000000"/>
        <rFont val="Calibri"/>
        <scheme val="minor"/>
      </rPr>
      <t xml:space="preserve">
"I know the employee will not have this visibility, but will anyone who has admin rights be able to see when a recipient has met their award limit for that quarter?" 
</t>
    </r>
    <r>
      <rPr>
        <b/>
        <sz val="11"/>
        <color rgb="FF000000"/>
        <rFont val="Calibri"/>
        <scheme val="minor"/>
      </rPr>
      <t xml:space="preserve">Input: Currently, there is no functionality available for admins to view the award quota status on the recipient’s end.
</t>
    </r>
  </si>
  <si>
    <t>N/A</t>
  </si>
  <si>
    <t>As soon as possible as they are searching for other vendors</t>
  </si>
  <si>
    <t>Solution Request 4741 MPAC Top Values Widget</t>
  </si>
  <si>
    <t>Customization in feed</t>
  </si>
  <si>
    <t>MPAC has raised a request regarding the "My Top Values" section that currently appears in the milestone feed (bottom-left corner). As you know, these values are derived from recognitions where nominators use hashtags.
MPAC feels this placement may be misleading, as these recognitions are not directly related to milestones. They are requesting to shift the "My Top Values" section from the milestone feed to the normal (main) feed, where it contextually aligns better with recognition activities.
Could you please let me know:
If this shift is technically feasible?
If yes, what would be the ETA for implementation?</t>
  </si>
  <si>
    <t>MPAC (1650)</t>
  </si>
  <si>
    <t xml:space="preserve">We agree that displaying the Top Value widget on the Milestone page may not be the best placement. Hence, will implement a condition to ensure that if a client does not have R&amp;R, the Top Values widget will not be shown.
@Preetam Rajkhowa, @Nibir Bora could you please look into this and implement the necessary logic? This widget appears on the Milestone and Profile pages.
@Nayan Bhuyan, we also support MPAC's request to remove this widget from the Milestone page. Since it's already available on the profile page, it might be redundant here. Please evaluate and proceed accordingly.
</t>
  </si>
  <si>
    <t>Milestone &amp; Appreciation</t>
  </si>
  <si>
    <t>Declined by Product</t>
  </si>
  <si>
    <t>Feasibility Check for Automated Email Reminders on Quota Utilization</t>
  </si>
  <si>
    <t>Email notification to manager to utilise balance quota</t>
  </si>
  <si>
    <t>As per the current structure, we do not have any process in place to notify users via email regarding their balance quota or prompt them to utilize it.
RNTBCI, one of our clients whose workflow is quota-based, has requested this feature to encourage their managers to make use of the remaining quota.</t>
  </si>
  <si>
    <t>RNTBCI</t>
  </si>
  <si>
    <t>We’ve previously implemented a similar Budget Summary emailer for one of our clients, Icertis. Using the same approach and logic, we can develop a Quota Summary emailer for this client as well. We’ll share the timelines with you shortly.
In parallel, we’ve also received a request to send reminder emails to approvers with pending approvals, and work on that is already underway.</t>
  </si>
  <si>
    <t>Email notification</t>
  </si>
  <si>
    <t>Nabab/Preetisha</t>
  </si>
  <si>
    <t>high</t>
  </si>
  <si>
    <t>Solution Request Milestone Template and Profile Picture</t>
  </si>
  <si>
    <t>Creating a Milestone Template</t>
  </si>
  <si>
    <t>Sending a milestone template at the start of the month- creating the PDF of all the employees who have completed a milestone during the last Month. The sample Template has been shared over the email. The template is shared with he BUHR &amp; explore possibility of posting it in Announcement section.</t>
  </si>
  <si>
    <t>Regarding system-generated templates for milestone celebrations, the most practical approach would be to design a standardized PDF format with support from the Design Team—similar to the initiative we started for TATA Motors. As previously discussed, this involves several complexities that make it challenging to implement at this stage:
Issues with handling profile pictures(size, non availability and privacy issues)
Difficulties in standardizing template design, coding, and sizing(text and image)
Inability to automatically publish these through the HR announcements feature
As an alternative, the @Product Vantagecircle may consider introducing a separate "Socials Board" specifically for such posts and announcements.</t>
  </si>
  <si>
    <t>Custom Template</t>
  </si>
  <si>
    <t>requirement</t>
  </si>
  <si>
    <t>Alternate for a Social Board or downloadable pdf suggested to Product</t>
  </si>
  <si>
    <t>Profile photo update</t>
  </si>
  <si>
    <t>update profile photo of all the employees  1) Bulk upload 2) Directly uploaded by employees &amp; points awarded</t>
  </si>
  <si>
    <t>ltts</t>
  </si>
  <si>
    <t>We consulted with the Tech team regarding this. Unfortunately, bulk uploading of photos is not feasible due to several technical and compliance-related reasons:
It violates our Data Security and Privacy policies, including GDPR compliance.
Our system uses Cloudinary to store images, generating a unique link for each photo upon user upload. These links are then saved in our database. This process must be initiated by the user and cannot be performed on their behalf.
Image extraction through HRMS/HRIS integration is also not possible, as those systems may store profile pictures in formats that are incompatible with our Cloudinary-based storage requirements.
The same response applies to the recent query regarding bulk upload of profile photos for LTTS.</t>
  </si>
  <si>
    <t>profile photo</t>
  </si>
  <si>
    <t>ankit</t>
  </si>
  <si>
    <t>Solution Request 5145 Consent Customization</t>
  </si>
  <si>
    <t>Consent customization</t>
  </si>
  <si>
    <t>Recognition Consent:
The current wording says:
"Any recognition(s) received by me will require my consent before being published in the feed."
However, this is causing confusion for MPAC.
MPAC's Requirement:
They want the configuration to behave opposite of the current logic:
If the toggle is ON → recognition should be auto-published.
If the toggle is OFF → it should prompt for the user’s consent before publishing.
They also requested the change the wording to align with new logic that they have requested-I agree that any recognition(s) received will be published in the feed</t>
  </si>
  <si>
    <t xml:space="preserve">This is being looked after by Shasanka as it will have a product level impact. A separate mail chain is going on for this.
</t>
  </si>
  <si>
    <t>Canada</t>
  </si>
  <si>
    <t>Milestone and appreciation</t>
  </si>
  <si>
    <t>kunal.maheshwari@vantagecircle.com</t>
  </si>
  <si>
    <t>Kunal Maheshwari</t>
  </si>
  <si>
    <t>[JIRA] (VC-12149) Show the Deptt and Title along with Name on the search dialog</t>
  </si>
  <si>
    <t>Show the Deptt / Title along with Name on the search dialog
https://vantagecirclejira.atlassian.net/browse/VC-12149</t>
  </si>
  <si>
    <t>Organization have multiple people with same name. For example, Saurabh Gupta, or Ankit Sharma..
Thus, for anyone recognizing or nominating such users, just looking by name or email could be tricky.
It will be nice, if we could show some additional information such as the deptt and title along side the name..
So Like, 
Saurabh Gupta, Sr. Software Engineer, Telecom
Ankit Sharma, Sales Manager, Sales</t>
  </si>
  <si>
    <t>We currently show the location of a user's location by default however for certain clients we do have the department option as well.  Please note that these are the only two options that we can have.</t>
  </si>
  <si>
    <t>North America</t>
  </si>
  <si>
    <t>Show the Deptt / Title along with Name on the search dialog</t>
  </si>
  <si>
    <t>2</t>
  </si>
  <si>
    <t>Solution Request 5347 Notifications</t>
  </si>
  <si>
    <t>Ability to mute all notifications</t>
  </si>
  <si>
    <t xml:space="preserve">Do we have the functionality to mute all notifications ? If not, can we build one ? </t>
  </si>
  <si>
    <t>While we do not have a feature to mute 'All' notifications, we would like to connect to discuss this requirement in detail.
Please let us know when we can connect next week.
The mentioned briefly that they don't want to receive bell notification on the recognition received by their colleagues however, with reference to our discussion on the call Nolan will share the exact requirements in the form of a VOC for the notification as well as the reports / insights. 
Would request you and Kamalika to share it with us when you receive it so that we start any further solutioning for the same.</t>
  </si>
  <si>
    <t>3</t>
  </si>
  <si>
    <t>Solution Request 5448 Notification to Nominators on Award Approval</t>
  </si>
  <si>
    <t>Sunpharma(1686) has requested a feature enhancement where nominators receive a notification or alert once their nomination is approved. This is to ensure better transparency and tracking for the users.</t>
  </si>
  <si>
    <t>Sunpharma</t>
  </si>
  <si>
    <t>One such notification email is already configured in the system. We have begun the process of QA confirmation. We will keep you posted on this.
This was confirmed by Tech. Ticket attached.</t>
  </si>
  <si>
    <t>Rnr</t>
  </si>
  <si>
    <t>Kamalika</t>
  </si>
  <si>
    <t>High, atleast the feasibilty if provided to us</t>
  </si>
  <si>
    <t>Availability Check</t>
  </si>
  <si>
    <t>Garima, Bhargav</t>
  </si>
  <si>
    <t>Closed on the JIRA ticket</t>
  </si>
  <si>
    <t>asif.rahman@vantagecircle.com</t>
  </si>
  <si>
    <t>Asif Zuber</t>
  </si>
  <si>
    <t>Solution Request for Technip energies UAE</t>
  </si>
  <si>
    <t>Client has an R&amp;R program that allows all employees a chance to vote for a peer colleague for a particular award nomination. Person with the highest nomination receives the award.</t>
  </si>
  <si>
    <t>Let's consider there are two awards. Their current reward program involves every employee casting a vote for their peer colleague against an award. The employee with the highest number of votes against a particular award wins the award. Only single vote can be given against a particular award by an employee.
We pitched profile badging in this case and also the idea of creating value based zero value awards instead of peer voting. And person receiving the highest number of times for award receives a profile badge with monetary value. However, can we have the limitation check of an employee giving only one award per quarter against an award?</t>
  </si>
  <si>
    <t>Technip Energies UAE</t>
  </si>
  <si>
    <t>Here's how we can structure it:
Create Two Awards:
A Zero Value Auto Approved Award (for peer nomination)
A Quarterly Panel Award (which can be configured as a monetary award)
Nomination Configuration:
Assign the ‘Nominator’ role to all employees.
Set a quota of 1 nomination per award per quarter for each nominator under the Zero Value Award. This ensures employees can only vote once per award each quarter.
Progression Setup:
Link the Zero Value Auto Approved Award to the Quarterly Panel Award through a progression workflow.
All winners from the Zero Value Auto Approved Award will automatically progress to the Quarterly Panel Award.
Panel Review:
The Quarterly Panel Award will have two designated panelists to review the progressed nominees.
Based on the panel's review, one winner can be finalized by a designated Winner Selector.
This setup will ensure controlled voting, structured evaluation, and seamless progression from peer recognition to final award distribution, aligning well with the prospect’s requirements.</t>
  </si>
  <si>
    <t>UAE</t>
  </si>
  <si>
    <t>Reward Work Flow/Profile Badging</t>
  </si>
  <si>
    <t>Asif Zuber Rahman</t>
  </si>
  <si>
    <t>This is a deal breaker. Priority level High</t>
  </si>
  <si>
    <t>13-06-2025</t>
  </si>
  <si>
    <t>Solution Request 5650 MPAC Consent</t>
  </si>
  <si>
    <t>When a group of employees is recognized and if one user ‘hides’ the post, it removes the post for all of the employees who were recognized in the group. 
Others should be able to view it</t>
  </si>
  <si>
    <t>We received a feature request from the client where they would like users to have the ability to hide their own recognition posts from the main feed.
For example, if Garima, Kamalika, and Shibani are appreciated in the same post, Garima should be able to hide the post from the feed only for herself, while the post should continue to remain visible for Kamalika and Shibani.
Kindly let us know the feasibility of this request and any potential limitations or implications.</t>
  </si>
  <si>
    <t xml:space="preserve">Our understanding: 
If one recipient of a team award hides the post, it becomes hidden for all other recipients as well.
Clarification:
The system is designed and tested to hide the post only for the specific recipient who chooses to hide it. If other recipients have consented to publish, the post should still appear in their feed as expected.
If you've observed behavior that differs from this, could you please share specific examples so we can investigate further?
</t>
  </si>
  <si>
    <t>MILESTONE &amp; Appreciation</t>
  </si>
  <si>
    <t>High atleast the feasibility</t>
  </si>
  <si>
    <t>Mute notification in platform</t>
  </si>
  <si>
    <t>MPAC wants the users to have an option to mute the notification in platform, as notification based on department wise</t>
  </si>
  <si>
    <t>Duplicate request 5347</t>
  </si>
  <si>
    <t>bulk upload of profile photos for all the employees (ID card photos_)</t>
  </si>
  <si>
    <t>need to display an employee photo to reduce the chances of nominating/appreciating another person with a similar name.</t>
  </si>
  <si>
    <t>Duplicate request 5044</t>
  </si>
  <si>
    <t>Looking to configure template for which Photo will be crucial</t>
  </si>
  <si>
    <t>Omron Automation | Feasibility Check for different scenarios of Panel Awards</t>
  </si>
  <si>
    <t>Feasibility of Queries/Scenarios raised for Panel Awards related to:
1. Nomination based on levels/grades in the organization
2. Nomination capacity of Nominator 
3. Visibility of sections like My Panel Vote, Announce Winner &amp; Panel Nomination Review in the To-Do List section</t>
  </si>
  <si>
    <t>This is in regards to one of my clients Omron Automation. They have four Panel Awards: 
Omron Innovista
Omron Collabtribe
Omron Dynamo
Omron CX Takumi
Workflow: 
Nominee = All Employee except Reporting Manager+1 (Cross functional nominations applied)
Nominator (All People Managers/Reporting managers)&gt;&gt;Reviewer (Reporting Manager of Nominator)&gt;&gt;Panel Voters&gt;&gt;Winner Selector
Queries: 
1. Nominators can nominate employees of the same level or below, but cannot nominate their Reporting Manager (say LI) and L2 level employees. Client won't share the ranks/grade groups of the organization, however, can share the user specific details of the above in Employee Details sheet. Is it feasible?
2. A Nominator cannot nominate one employee twice for one award, but can nominate one employee for all the 4 awards or for multiple awards. Is this feasible and how can we incorporate the same?
3. While submitting the UAT we see that the users are able to see multiple options relevant to the Panel awards such 'My Panel Vote, 'Announce Winner'. For example, if someone is the 'Winner Selector' he/she is able to see the 'My Panel Vote' option. Same way, if some is the Panel Voter, he/she is able to see 'Announce Winner' option along with other options of Panel awards. Kindly confirm if it is an expected behaviour.</t>
  </si>
  <si>
    <t>Omron Automation Private Limited</t>
  </si>
  <si>
    <t>You can configure the Panel Award as a Team Panel to support both individual and team nominations. An advanced filter can be applied to limit the number of members in a team nomination (minimum of 1 and a maximum based on client requirements).
An employee may receive multiple nominations for the same Panel Award from different nominators. Each nomination is treated as a separate entry by the system.
The reviewer has the authority to evaluate and decide whether multiple nominations for the same employee should be forwarded to the panel or rejected.
If multiple nominations are forwarded, the Winner Selector has the discretion to determine whether the same employee can be awarded more than once. Please note that this logic cannot be enforced through system validation.
Regarding the issue with multiple roles, please try creating new users and awards to validate the hypothesis. If the issue persists, the Tech team will need to perform a root cause analysis (RCA).</t>
  </si>
  <si>
    <t xml:space="preserve">India </t>
  </si>
  <si>
    <t>High Priority Level as UAT has been submitted and client have these queries</t>
  </si>
  <si>
    <t>Location Update Behavior in City API</t>
  </si>
  <si>
    <t>When the location field is set as static in the 'My Profile' section, there is still another dropdown that allows users to change it as needed. Ideally, once a field is marked as static, there should be no alternate way for users to modify the same information.</t>
  </si>
  <si>
    <t>When the location field is made static (non-editable) in the 'My Profile' section for all users on the platform, there is still another dropdown option available that allows users to select their location. When a user selects a location from this dropdown, it also updates the static location field accordingly.
We want to ensure that certain employee details, which we receive through data integration, remain non-editable by users.</t>
  </si>
  <si>
    <t>Antara Senior CAre</t>
  </si>
  <si>
    <t xml:space="preserve">We’ve identified a scenario where the "Current Location" field below the 'My Profile' dropdown is calling the City API, and updates made here are overriding the Current City field in the 'My Profile' section, which should ideally be non editable for companies as per their configuration.
To ensure flexibility while maintaining data consistency, we propose adding a configurable flag in the City API that supports two use cases:
Restrictive Mode: When the location is fixed via client configuration, updates through the "Current Location" (outside 'My Profile') should be blocked.
Flexible Mode: When the location is editable within 'My Profile', the same should be reflected or configurable via the "Current Location" selector outside the profile section.
This will help us manage different client requirements and ensure alignment between displayed and editable fields.
@Subhendu Gogoi @Kongkona Das -  Requesting your inputs in case there are any existing constraints, dependencies, or considerations we should be mindful of while implementing this approach.
</t>
  </si>
  <si>
    <t>Static Location info</t>
  </si>
  <si>
    <t>Client Requirements</t>
  </si>
  <si>
    <t>Client requires details on the process of Panel Awards.</t>
  </si>
  <si>
    <t xml:space="preserve">They have their Value Champion Award. They have shared the below points to understand what all can be automated in the paltform-
Nomination Received from all employees (say- 1000)
One person (Admin) from Recognition team to clean and shortlist top 100 nominations to be shared with panel.
Panel of 3 leaders to give ranking or scores. Basis the combined score top 20 nominations go for final winner list for the HR approval.
HR Team to review and approve these top 20 winner names for org wide announcement, certificates &amp; points allotment to winners.
 </t>
  </si>
  <si>
    <t>Mumbai, India</t>
  </si>
  <si>
    <t>Panel Awards</t>
  </si>
  <si>
    <t>1.
Meeting the client tomorrow in their office so would need to provide solutions or workarounds on the queries.</t>
  </si>
  <si>
    <t>Breakage details required for  Amdocs</t>
  </si>
  <si>
    <t xml:space="preserve">Hi Hemanga,
We are currently in discussion with Amdocs regarding a new program related to points, and we would require the following details from your end:
Breakage data for the past 6 months
Please share the information at your earliest convenience to help us move forward with the planning.
 </t>
  </si>
  <si>
    <t>Redemption data shared</t>
  </si>
  <si>
    <t>Breakage</t>
  </si>
  <si>
    <t>Need to cross sell</t>
  </si>
  <si>
    <t>arjo.mitra@vantagecircle.com</t>
  </si>
  <si>
    <t>Arjo Mitra</t>
  </si>
  <si>
    <t>Solution Request 6559 Opella Budget Automation</t>
  </si>
  <si>
    <t>The client wants to allocate budget to all the users for all 47 unique regions.</t>
  </si>
  <si>
    <t>The client is set to keep all the users in the nominator role and allocate budgets for all across all 47 unique regions.As the user count is quite high i.e 11,000 this would be a cumbersome manual task to manually upload budgets for all across every region.There are no level of approvers as everyone would be a nominator.We need to find a workaround to make the budget allocation a hassle free and easier task.</t>
  </si>
  <si>
    <t>Opella Healthcare Group (A Sanofi Consumer Healthcare business unit)</t>
  </si>
  <si>
    <t>The request was discussed offline the same day and Budget Automation was suggested to address this. An approach note has been shared for the same.</t>
  </si>
  <si>
    <t>France</t>
  </si>
  <si>
    <t>Rewards and Recognition</t>
  </si>
  <si>
    <t>Simanta Adhikary</t>
  </si>
  <si>
    <t>High Priority as the client is set on moving ahead with the budget allocation and they don't want to proceed with the no-budget configuration.</t>
  </si>
  <si>
    <t>Will it be low or medium? Only documentation involved</t>
  </si>
  <si>
    <t>Solution Request 6458 Systra MVA Award Workflow and Employee Details</t>
  </si>
  <si>
    <t>Check the feasibility of workflow of three standard monetary awards for the client Systra MVA</t>
  </si>
  <si>
    <t>1. MD Hall of Fame: Nominee: All employees ; Workflow: BL Head nominates&gt;&gt;CEO&gt;&gt;MD
2. Leadership Excellence: Nominee: All People Managers ; Workflow: RM nominates&gt;&gt;BL Head&gt;&gt;CEO&gt;&gt;MD
3. Kudos: Nominee: All employees ; Workflow: People Manager nominates&gt;&gt;BL Head&gt;&gt;CEO (auto-approved)</t>
  </si>
  <si>
    <t>Systra MVA</t>
  </si>
  <si>
    <t>The workflow has been discussed internally and with the client on call. An approach note has been shared post the client call.</t>
  </si>
  <si>
    <t>High Priority as workflow needs to be finalized and awards needs to be configured</t>
  </si>
  <si>
    <t>debraj.gogoi@vantagecircle.com</t>
  </si>
  <si>
    <t>Debraj Gogoi</t>
  </si>
  <si>
    <t>Solution_Request_6559_Vitesco Technologies Private Limited</t>
  </si>
  <si>
    <t>We need to create a feature wherein Super admin's action is not considered as the final action</t>
  </si>
  <si>
    <t xml:space="preserve">The workflow for the client, Vitesco Technologies, is quota-based and includes multiple levels of approval. The final approval, or quota holding, is designated to the third-level approvers. However, if the Super Admin appears as a mid-level approver within the workflow, the system treats him/her as the final approver or quota holder. As a result, the Super Admin receives an error message indicating insufficient quota to approve the nomination. </t>
  </si>
  <si>
    <t>Vitesco Technologies Private Limited</t>
  </si>
  <si>
    <t>Bangalore</t>
  </si>
  <si>
    <t>Quota</t>
  </si>
  <si>
    <t>High priority as ever since we introduced quota for the client, there have been numerous issues the client has been through.</t>
  </si>
  <si>
    <t>Solution Request 6660 Private Recognition MPAC</t>
  </si>
  <si>
    <t xml:space="preserve">User Feedback: Clarifying Private Recognition for Receivers
</t>
  </si>
  <si>
    <t>We’ve noticed that when a user receives a private recognition, there isn’t a clear indication on their end that the recognition is private. This can sometimes lead to confusion.
Would it be possible to have something in place—such as a label or visual indicator—to let the recipient know that the recognition is private?</t>
  </si>
  <si>
    <t>It was agreed to add a diclamer to the email suggesting that the recognition received is private. Additionally the same has been implemented for all Award and Badge history section on the platform too.</t>
  </si>
  <si>
    <t>Solution Request 6761 Budget allocation email</t>
  </si>
  <si>
    <t>Budget Allocation Email</t>
  </si>
  <si>
    <t>We’ve noticed that when a user receives a budget (e.g., $50), the email currently displays it as USD 50.0. However, as per the Edelman team’s preference, it should appear as USD 50.00 (with two decimal places).
Could you please let us know if this formatting change can be implemented?
Looking forward to your response.</t>
  </si>
  <si>
    <t>Edelman Financial Engines</t>
  </si>
  <si>
    <t xml:space="preserve">The issue was acknowledged on Teams by Garima. 
Issue has been raised with Tech Team to rectify the decimal places. 
</t>
  </si>
  <si>
    <t>The issue was acknowledged on Teams by Garima.</t>
  </si>
  <si>
    <t>Solution Request 6862 Wipro Requirements</t>
  </si>
  <si>
    <t>During my discussion with the Wipro team, we explored a few feature requirements that they are keen on implementing. Details of the same are as below:
Feature
Description
Status
Additional Notes
Budget Visibility
Enabling budget balance access to all SPOCs
Requirement shared
Budget balance should be visible to all SPOCs
CSV Upload
Enabling access to upload unit awards through the portal for assigned units only
Requirement shared
SPOC should be able to grant awards only to their assigned units
Request you to please suggest how we should take this forward — whether this can be picked up internally.</t>
  </si>
  <si>
    <t xml:space="preserve">Hi Nitika, 
With reference to our conversations,  the requirement is bifurcated in to two, as noted below.

Feature
Description
Status
Additional Notes
Budget Visibility
Enabling budget balance access to all SPOCs
Requirement shared
Budget balance should be visible to all SPOCs
CSV Upload
Enabling access to upload unit awards through the portal for assigned units only
Requirement shared
SPOC should be able to grant awards only to their assigned units
The budget visibility is an existing feature of our dashboard, as shown during our call ( Screen shot below).
For the second requirement, I have spoken with @Nayan Bhuyan and it has to be analyzed and taken up as a product enhancement if feasible. 
In essence, for organizations who have tagged particular users to departments would want to have a validation in place which restricts them to upload points / approval only for their tagged department. 
@Nayan Bhuyan Request you to kindly look into this. 
Warm Regards,
Hemanga </t>
  </si>
  <si>
    <t>Budget view</t>
  </si>
  <si>
    <t>They want to take it up on priority</t>
  </si>
  <si>
    <t>One of the requirements was forwarded to product.</t>
  </si>
  <si>
    <t>Solution Request 6963 'Award not found' message, Omron</t>
  </si>
  <si>
    <t>1. Change in error message on the platform when Manager (L1) and Manager (L2) is selected for nomination
2. Change in error message for Exceeding 6 Nominee Limit for Team Awards while nominating</t>
  </si>
  <si>
    <t xml:space="preserve">In both the cases the error message that gets displayed is : "No awards found". For the first case, the message should show "You cannot nominate your Manager and L2". For the second case, the message should show "You have exceeded the maximum limit of 6 nominations for a team award". </t>
  </si>
  <si>
    <t>Solution: Replacing the generic message “No awards found” with a specific message for each individual use case isn’t feasible. Instead, we recommend guiding users through a question wizard that helps them choose the correct award type from the start.
For example, presenting questions like
“What type of award is it?” 
Individual or
Team (Max team size - 6) 
will help users understand the rules and make valid selections.
As the next step, we request you to share all the specific use cases where tailored guidance or error messages are needed, so we can design the question wizard accordingly.</t>
  </si>
  <si>
    <t>Medium Priority</t>
  </si>
  <si>
    <t>Pallav Popli</t>
  </si>
  <si>
    <t>Landmark group HR announcements</t>
  </si>
  <si>
    <t>Advanced targeting and filtering for HR nnouncements</t>
  </si>
  <si>
    <t>Landmark group is seeking targeted HR communications based on gender, region, departement, grade etc.</t>
  </si>
  <si>
    <t>Landmark Group</t>
  </si>
  <si>
    <t>Two approaches have been suggested to use the filter capabilities with a combination of Announcement capabilities to achieve the targeted communications. PPT Attached.
Feature enhancement was requested along with feature prototype in Figma, hence, it was handed over to product.</t>
  </si>
  <si>
    <t>Garima, Team</t>
  </si>
  <si>
    <t>Panel Award Customization</t>
  </si>
  <si>
    <t>Panel award customisation</t>
  </si>
  <si>
    <t>details in attached excel</t>
  </si>
  <si>
    <t>Kotak Mahindra Bank</t>
  </si>
  <si>
    <t>Solution shared in the excel attached with query. (Link 1)
Later, forwarded to product for enhancement.</t>
  </si>
  <si>
    <t>https://vantagecircle.sharepoint.com/sites/Solutions/_layouts/15/Doc.aspx?sourcedoc=%7B8AAE1F20-F018-4554-8D44-6678756825FD%7D&amp;file=KOTAK%20%20VENDOR%20DISCUSSION%20(004)_Ankit%20Mehta.xlsx&amp;action=default&amp;mobileredirect=true</t>
  </si>
  <si>
    <t>Key ask from clients business team</t>
  </si>
  <si>
    <t>National Holding R&amp;R and Pulse Solution</t>
  </si>
  <si>
    <t>Separate Pulse and Common R&amp;R for National Holdings</t>
  </si>
  <si>
    <t>National Holdings want to onboard few of its subsidiaries in two separate Pulse instances and a common R&amp;R instance presenting the problem of dual registration of same user.</t>
  </si>
  <si>
    <t>National Holdings</t>
  </si>
  <si>
    <t>An approach note was created post discussion with Tech and Pulse Team. Two approaches were suggested doc attached.
A second meeting was convened to discuss alternate approach (Link2) to handle dual registration for two separate platforms. Subhendu to give the Tech feasibility of another efficient approach discussed with Anjan.</t>
  </si>
  <si>
    <t>Implementation Stage</t>
  </si>
  <si>
    <t>To-do</t>
  </si>
  <si>
    <t xml:space="preserve">Solutions request 171168::Review Comments on Onboarding Requirements for Accenture.
</t>
  </si>
  <si>
    <t>Client has shared their specific requirements and have asked our capabilities of the platform around the same.</t>
  </si>
  <si>
    <t>The client has shared requirements which are more focused towards onboarding of employees. Request you to review it and provide the best possible capabilities we have on them. You can clearly state if we do or do not. Additionally, if a workaround is available please update that accordingly.</t>
  </si>
  <si>
    <t>Accenture</t>
  </si>
  <si>
    <t>We’ve reviewed it and added our comments directly in the file attached in optional field.It appears that several of the requirements are primarily focused on employee onboarding, which falls outside the scope of our platform we specifically focus on Rewards &amp; Recognition. While onboarding services aren’t something we handle directly, we’ve tried our best to suggest possible approaches and workarounds to accommodate your needs wherever feasible.</t>
  </si>
  <si>
    <t>https://vantagecircle.sharepoint.com/sites/Solutions/_layouts/15/Doc.aspx?sourcedoc=%7BE4FE72FA-2351-44CE-BD4D-2430EFA1A09A%7D&amp;file=Gamified%20Onboarding%20Exp%20-%20SOW_Abhisek%20Sharma.docx&amp;action=default&amp;mobileredirect=true</t>
  </si>
  <si>
    <t>10000+</t>
  </si>
  <si>
    <t>10 Cr. +</t>
  </si>
  <si>
    <t>Onboarding Capabilities</t>
  </si>
  <si>
    <t>We would have to explore possibilities for an employees onboarding journey to be a part of the platform.</t>
  </si>
  <si>
    <t>1. Need this answered by tomorrow EOD</t>
  </si>
  <si>
    <t>Nilimpa</t>
  </si>
  <si>
    <t>Requirement from Bosch- Critical</t>
  </si>
  <si>
    <t>Bosch has 8 entities in India—4 are live on Vantage Rewards, and 4 (approx. 1000 users) will onboard soon.
Employees often contribute across entities, but current separate instances prevent cross-entity recognition. We need a solution to enable this.</t>
  </si>
  <si>
    <t xml:space="preserve">Bosch operates through 8 different entities in India, out of which 4 (top 4) are currently using Vantage Rewards. The plan is to onboard the remaining 4 entities (approximately 1000 users) shortly.
Employees often contribute to tasks and initiatives across entities. For example, someone from Entity A may support a project or task for Entity B.
The HR or Manager from the benefiting entity (Entity B) would like to recognize and reward such cross-functional contributions. However, since each entity currently operates its own instance/tool, this is not technically possible today.
Current Limitation
      •     Recognition is confined within each entity’s environment.
      •     There is no cross-entity recognition or points transfer mechanism.
Potential Expectations
      •     Enable managers/HRs to reward users from outside their entity.
      •     Possibly a unified backend that allows inter-entity visibility and secure cross-entity recognition.
      •     Ensure auditability, compliance, and data segregation as required by Bosch.
Strategic Benefits for Vantage Circle
1. Accelerated Expansion Across Bosch
      •     Bosch has already adopted Vantage Rewards in 4 out of 8 entities.
      •     This use case becomes the driving factor to onboard the remaining four entities faster.
      •     Positions Vantage Circle as a scalable, enterprise-grade solution, solving not just transactional needs but structural pain points.
2. Platform Consolidation = Higher Retention
      •     Unifying recognition across entities improves adoption and dependency.
      •     Reduces the likelihood of Bosch considering other vendors for the remaining entities.
      •     Locks in a larger share of the wallet across the Bosch ecosystem.
3. Higher Engagement = Higher Redemption = Higher Revenue
      •     Cross-entity recognition leads to more recognition transactions.
      •     More points distributed → More points redeemed → Increased redemption revenue for VC.
4. Stronger Business Case for Other Multi-Entity Clients
      •     Bosch can serve as a marquee reference for complex, multi-entity recognition implementations.
      •     Opens doors for similar enterprises with federated HR structures (e.g., Tata, Renault Nissan, Aditya Birla, etc.)
5. Deeper Platform Stickiness
      •     Solving this workflow binds VC deeper into Bosch’s HR processes.
      •     Makes it more challenging to move away from the platform once cross-entity dependencies are in place.
6. Opportunity for Premium Billing/Upsell
      •     The technical lift and additional capabilities can be positioned as a premium add-on or custom module, justifying upsell discussions.
</t>
  </si>
  <si>
    <t>Bosch</t>
  </si>
  <si>
    <t>Initial requirement gathering call on 17july'25. 
A document was prepared for the call with Tech. Attached in link 1.
A SCD has been created post discussion with tech. Attached in Link 2.</t>
  </si>
  <si>
    <t>https://vantagecircle.sharepoint.com/sites/Solutions/_layouts/15/Doc.aspx?sourcedoc=%7BDDD5E6D0-335D-4CF6-A24E-1A9CC147AD9A%7D&amp;file=Bosch%20Entities%20Workflows_Preetisha%20Bordoloi.xlsx&amp;action=default&amp;mobileredirect=true</t>
  </si>
  <si>
    <t>cross entity recognition</t>
  </si>
  <si>
    <t>Nabab</t>
  </si>
  <si>
    <t>Solution request 7670 RFP questions</t>
  </si>
  <si>
    <t>Client has shared some queries to check if we have the features available. If so then what in detail.</t>
  </si>
  <si>
    <t>Client has shared a requirement sheet which we need to fill in and provide the details.</t>
  </si>
  <si>
    <t>Capri Global/ Capri Loans</t>
  </si>
  <si>
    <t>Thank you for submitting the solutions request form.
You are requested to utilize the RFP tool to complete the preliminary responses and highlight any areas where you would specifically require our assistance.</t>
  </si>
  <si>
    <t>https://vantagecircle.sharepoint.com/sites/Solutions/_layouts/15/Doc.aspx?sourcedoc=%7B19081D4C-BA2A-4A50-BABD-697AA9DF7912%7D&amp;file=RnR_%20Aspect(Sheet1)_Abhisek%20Sharma.xlsx&amp;action=default&amp;mobileredirect=true</t>
  </si>
  <si>
    <t>1
We need to provide the answers to the queries asap so the POC can submit the same and present our proposal to the management accordingly.</t>
  </si>
  <si>
    <t>No action taken</t>
  </si>
  <si>
    <t>nilotpal.roy@vantagecircle.com</t>
  </si>
  <si>
    <t>Nilotpal Roy</t>
  </si>
  <si>
    <t>Solution request 189186::Proposed Approaches to Improve CSV Data Upload Accuracy</t>
  </si>
  <si>
    <t>Proposed Approaches to Improve CSV Data Upload Accuracy</t>
  </si>
  <si>
    <t>We have observed multiple instances of incorrect data uploads, which have resulted in duplicate or incorrect entries in the system. This, in turn, is causing mismatches and requires our team to spend considerable manual effort to identify and resolve the discrepancies.
We have encountered several such cases recently, particularly with Wipro and Celebal, where repeated upload errors have affected overall data accuracy and processing time.
To mitigate these issues and ensure smoother operations, we have outlined a set of approaches and best practices to improve the CSV upload process and reduce data anomalies. These steps aim to prevent future errors, enhance efficiency, and minimise manual intervention.
Please review the proposed approaches and share any additional inputs or suggestions that can further strengthen the process.</t>
  </si>
  <si>
    <t>All Clients</t>
  </si>
  <si>
    <t>We have completed the analysis and here is a summary of our findings:
Dry-Run / Preview Screen:
A preview option already exists in the Bulk Points Upload section. Adding a similar preview feature to the Employee Upload section is feasible and will be taken up in an upcoming sprint.
Smart Upload Validator:
The system already supports comprehensive validations. Immediate errors are shown for incorrect formats or missing primary data. Partial file processing is enabled—error rows are skipped, and details are emailed to designated recipients. For common formatting issues (like spaces or uppercase email IDs), the platform automatically standardizes the data before upload.
Two-Step Approval:
Two-step approval currently exists for Bulk Points Upload. Extending this to Employee Uploads would require architectural changes and may affect existing clients by requiring new uploader–approver configurations, potentially disrupting current workflows.</t>
  </si>
  <si>
    <t>https://vantagecircle.sharepoint.com/sites/Solutions/Shared%20Documents/Apps/Microsoft%20Forms/Solution%20Request%20Form/Question/File%20upload%20process%20(1)_Nilotpal%20Roy.pdf</t>
  </si>
  <si>
    <t>Medium</t>
  </si>
  <si>
    <t>Solution request 7872 client query Color Tokens</t>
  </si>
  <si>
    <t xml:space="preserve">I need help proofreading the responses below for a client interested in Vantage Recognition, and I’d also appreciate assistance with the first point.
1. We should be able to view/ select multiple country for requesting points or checking the points balance/gift cards in the Super Admin login.
2. Budget Report view for admin - we need clarity on headings mentioned.
Response) The Budget Report includes the following key fields:
Budget Bought: Total purchased points
Budget Used: Points spent on awards
Budget Remaining: Available balance
Request Type: Manual top-up requests via dashboard
Wallet Source: Country/Department/Common wallet
This report is accessible from the Web Admin Dashboard.
3. Where do we define the value of vantage points in terms of different currencies?
Response) We use a SOLI (Standard of Living Index) framework, configurable by your team.
This allows $X to be equivalent to different values in INR, GBP, etc., based on purchasing power parity.
Please note: SOLI applies only during award allocation, not during redemption (which follows actual gift card value).
</t>
  </si>
  <si>
    <t>Color Tokens</t>
  </si>
  <si>
    <t>Thank you for submitting the solutions form, but we need more clarity on what you are seeking. 
Let's connect at 4.30 pm today, if you are available.
Based on our discussion, please find the answers below:
Budget Reports: There are various reports available on the dashboard that HR admin can view and download:
Purchased Budget Report
Detailed overview of budget purchase transactions, country-wise.
Budget Allocation Report
Detailed overview of reward budgets allocated to budget holders.
Budget Utilization Report
Detailed overview of reward budgets spent by budget holders.
Budget balance of Managers: HR admin can view the budget balance of the Managers (only those who have direct reportees) from the Budget section in the Vantage Recognition module of the Dashboard.
Point balance of end users: HR admin cannot see the point balance of end users. This is their account information. HR admin can extract details on how many points were awarded to which users using the Employee Points Report.
Gift Card available: This information can be viewed from the platform frontend or the support team can help with a list of gift cards available in various countries.
SOLI: Our rewarding system is based on the SOLI (Standard of Living Index) framework to help companies recognize global employees. It ensures equal and fair regulation of reward points against currencies for employees across the globe. The SOLI framework goes beyond the currency conversion rates (which change frequently). It automatically adjusts the monetary rewards as per the standard of living of the country. This makes the regulation of reward points fair and equal.</t>
  </si>
  <si>
    <t>Solution request 190187 ::Need for Export and Pagination Feature in Points Statement</t>
  </si>
  <si>
    <t>Need for Export and Pagination Feature in Points Statement</t>
  </si>
  <si>
    <t>Currently, there is no feature available to export the points statement from the Vantage Circle account, nor is there a pagination option to view the statement in an organised manner. If an export feature is enabled, it would significantly simplify the process for support representatives to identify discrepancies in the points statement and also help users review their points easily, especially in cases of impending expiry or mismatches. Overall, this enhancement would reduce the time and effort required to investigate points discrepancy issues and improve efficiency for both users and support teams.
In the absence of this feature, the points statement must be manually copied from the Site Admin, organised in an Excel sheet, and then revalidated, which is time-consuming, effort-intensive, and carries a risk of missing line items.
Overall, the time required to investigate points discrepancy issues is significantly reduced, enabling faster and more efficient resolution.</t>
  </si>
  <si>
    <t xml:space="preserve">The preview functionality for employee details upload will be picked in the upcoming sprint.Smart validations are already supported, and a preview option for Employee Uploads will be added in an upcoming sprint. Existing validation mechanisms also auto-correct common formatting issues and provide detailed error reports for skipped rows. However, implementing a two-step approval for employee uploads would require significant architectural changes and may disrupt existing client workflows, so no immediate action is planned on that front. </t>
  </si>
  <si>
    <t>Export and Pagination Feature in Points Statement</t>
  </si>
  <si>
    <t>Pallav Baruah</t>
  </si>
  <si>
    <t>Low</t>
  </si>
  <si>
    <t>abhishek.singh@vantagecircle.com</t>
  </si>
  <si>
    <t>Abhishek Singh</t>
  </si>
  <si>
    <t>Solution request 7973 OTP authentication for redemption</t>
  </si>
  <si>
    <t>TCS NA has signed with us, and I want to get your thoughts on executing a potential solution.
Situation: TCS is implementing a gift card redemption only program with us. Since this program is only for active employees, they want to make sure an employee is authenticated before making a redemption.
The authentication will work by sending an OTP to the employee, which they will enter on VC platform before proceeding to redeem their points for the Gift Card.
Their goal is to filter out terminated employees with the OTP process
Execution: Since this has not been implemented for any of our clients before. How would we execute this OTP process?</t>
  </si>
  <si>
    <t xml:space="preserve">Situation: TCS is implementing a gift card redemption only program with us. Since this program is only for active employees, they want to make sure an employee is authenticated before making a redemption.
The authentication will work by sending an OTP to the employee, which they will enter on VC platform before proceeding to redeem their points for the Gift Card.
Their goal is to filter out terminated employees with the OTP process
Employee Journey
1. Employee earns Gems via the Ultimatix &gt;TCS Gems Rewards platform.
2. Employee logs into the Vantage Circle Portal via a secure link or platform.
3. Employee creates or verifies an account.
4. Employee redeems TCS Gems (converted into Vantage Points) on available offerings.
5. Employees receive digital vouchers or instructions for experiences within 24 hours.
</t>
  </si>
  <si>
    <t>TCS North America</t>
  </si>
  <si>
    <t xml:space="preserve">Our understanding of the problem statement: The client requires OTP-based authentication to ensure that terminated employees cannot make redemptions or access the platform.
Proposed solution: Users are authenticated during login. If a user’s termination status is communicated to us through the HRMS system, that user will be prevented from logging in and making redemptions on the platform.
The SOW shared does not clearly state any HRMS integration. It mentions "Facilitate data sharing (as per TCS data privacy policies) to enable account creation and verification." 
Could you please confirm if there are any additional aspects to this requirement?
User Account Creation &amp; Authentication
Adding users as and when the file is received from the client is possible. When the HR Admin(or SPOC) performs a CSV points upload:
New users will receive an email prompting them to register and redeem their points.
Existing users will be notified about the point upload.
This fulfills the user registration criterion sought by the client.
Authentication &amp; Session Management
We can enable OTP-only login for the Web app with minimal development effort, rather than implementing a full-fledged two-factor authentication (2FA) mechanism.
However, mobile app will need to be disabled for this client, as the app does not currently support hiding the password login option. </t>
  </si>
  <si>
    <t>https://vantagecircle.sharepoint.com/sites/Solutions/_layouts/15/Doc.aspx?sourcedoc=%7B934CC2C1-1211-4B38-AB2C-21E759D1B4F1%7D&amp;file=TCS_Vantage_Circle_SOW_Abhishek%20Singh.docx&amp;action=default&amp;mobileredirect=true</t>
  </si>
  <si>
    <t xml:space="preserve">The OTP authentication is priority for them to go live </t>
  </si>
  <si>
    <t>Solution request 137130::Acknowledgment of Solution Form Request – Amdocs</t>
  </si>
  <si>
    <t>Amdocs Custom email</t>
  </si>
  <si>
    <t xml:space="preserve">The client want branded custom emails to be incorporated for birthday point allocation. </t>
  </si>
  <si>
    <t>Required Chnages are done and provided to the team/client.</t>
  </si>
  <si>
    <t>28000</t>
  </si>
  <si>
    <t>30</t>
  </si>
  <si>
    <t>Custom email.</t>
  </si>
  <si>
    <t xml:space="preserve">High complexity </t>
  </si>
  <si>
    <t>Feasibility check for Panal Award | Antara Senior Care</t>
  </si>
  <si>
    <t>Workflow feasibility check with the specific user information</t>
  </si>
  <si>
    <t>The client needs to include a specific group of employees in the Panel Awards. Under the business lines 'AGEasy' and 'NotAGEasy' there are two groups. Frontlines and non frontlines
&gt;&gt;In one award the eleigible recipients will be frontlines who fall under 'NotAGEasy' lines.
&gt;&gt;For another award, the eligible recipients are non front lines who fall under the same 'NotAGEasy' group
&gt;&gt;For one more award, the eligible recioients are the whole members of 'AGEasy' line
Now, we are acquaring the 'AGEasy' and 'NotAGEasy' information in additional info 1 column and acquaring the 'Frontlines' and 'Nonfrontlines' groups in additional info column 2.
The user specific information are taken in single columns.
Kindly confirm how effectively we can achive the requested workflo for the Panel Award.</t>
  </si>
  <si>
    <t>The Antara Senior Care Panel Award workflow can be customized based on the Business Unit (BU) and Employee Category. Use the "Receiver Entity Type" in the advanced filter to assign awards by BU (e.g., Not AGEasy or AGEasy). The option "The individuals nominated for this award must be present in" can be used for eligible employee categories—additionalinfo1 for Frontliners and additionalinfo2 for Non-Frontliners.</t>
  </si>
  <si>
    <t>Workflow feasibilty</t>
  </si>
  <si>
    <t>Solution request 8276 work anniversary location Edelman</t>
  </si>
  <si>
    <t>Request to Remove Location from Work Anniversary Posts</t>
  </si>
  <si>
    <t xml:space="preserve">
Edelman has raised a request regarding the "Share Your Thoughts" section displayed for work anniversaries.
Currently, on the left-hand side below the anniversary badge, the text reads something like:
"Rakesh Das has been a part of Vantage Circle for 1 year as of July 22, 2025, and is currently working in the CX (R&amp;R) Department, based in India."
On the right-hand side, users can write their messages.
They would like to know if it's possible to remove the location reference (e.g., “based in India,” “based in USA,” etc.) from this section.
Please let me know if this can be customized</t>
  </si>
  <si>
    <t>Edelman financial engines</t>
  </si>
  <si>
    <t xml:space="preserve">We have received your query. Before we begin evaluating the possibility of removing the location reference, could you please share the client's rationale behind this request?
Note: As a standard practice, please ensure that any client requests are accompanied by a clear justification. This helps us better understand the context and provide more effective solutions.
One helpful approach is to ask the client what specific challenges or constraints they are facing that led to this request.
We discussed this with the Tech team. The current code is designed such that if a user’s city is not available in the database, it will not be displayed on the Share Your Thoughts page (specifically for the work anniversary location).
I have a follow-up question:
Do any workflows, feed filters, employee search, or other platform features currently utilize the city parameter for Edelman?
If the city parameter isn’t being used elsewhere, we can consider removing this information from the client records altogether. This would allow the city data to naturally stop appearing on the platform without requiring any code changes and without impacting any existing workflows.
As for the country parameter, it is a mandatory field, as all awards and their corresponding values are configured and mapped at the country level. 
</t>
  </si>
  <si>
    <t>rnr</t>
  </si>
  <si>
    <t>Solution request 7468::Feasibility check for Customisation of 'Year' calculation of Leaderboard</t>
  </si>
  <si>
    <t>¸</t>
  </si>
  <si>
    <t>The client has requested to change the 'Year' calculation of LEaderboard to be Finalcial year instead of the Calender year.
The reason of this request is that the RnR program that runs within the organisation is entirely based on Financial year.</t>
  </si>
  <si>
    <t>After conducting a thorough review with the technical team, we conclude that transitioning from the calendar year to the fiscal year is a complex change that will require significant time and effort. If the fiscal year is implemented, there could be issues with the user experience, as leaderboard data may appear empty or inconsistent at the beginning of each new fiscal year.</t>
  </si>
  <si>
    <t>Leaderboard calculation in financial year</t>
  </si>
  <si>
    <t xml:space="preserve">Reg: R&amp;R Automation deck
</t>
  </si>
  <si>
    <t>Automating the UNIT awards</t>
  </si>
  <si>
    <t>Work started after discussion. PPT attached in link. Ongoing.</t>
  </si>
  <si>
    <t>https://vantagecircle.sharepoint.com/sites/Solutions/Shared%20Documents/Apps/Microsoft%20Forms/Solution%20Request%20Form/Question/RR%20Enhancement%20Vantage%20Portal%20July%2015_Nitika%20Anand.pdf</t>
  </si>
  <si>
    <t>Unit award automation</t>
  </si>
  <si>
    <t>Urgent</t>
  </si>
  <si>
    <t>Defining separate program names for different modules implemented</t>
  </si>
  <si>
    <t>Defining separate program names for separate modules (Vantage RnR and Vantage Pulse)</t>
  </si>
  <si>
    <t xml:space="preserve">One of clients has opted for both RnR and Pulse modules on the system. The RnR module was implemented last year and this year they have gone live with Vantage Pulse. We defined their program name when releasing the RnR module. Now, when they have launched their surveys on the Pulse, the users are receving the the surevy emails with the program name set for RnR module. The client has requested have separate program name for Vantage Pulse module. 
This is because, they have complete different purposes of for both the modules and these are not interrelated. </t>
  </si>
  <si>
    <t>2000</t>
  </si>
  <si>
    <t>INR 2,71,000 (Peoplestrong client)</t>
  </si>
  <si>
    <t>Defining separate program names for different modules active</t>
  </si>
  <si>
    <t>Parshi Phukan</t>
  </si>
  <si>
    <t>Solution Request 8680 Tata Motors Demerger: Certificates</t>
  </si>
  <si>
    <t xml:space="preserve">Company name field in the certificate configuration. </t>
  </si>
  <si>
    <t>Tata Motors will be demerged into 4 different companies, but they will use the same R&amp;R platform for all 4 companies. They have a requirement wherein the certificate configuration should include an option to add the receiver's Company name, along with other data sets that we can add.</t>
  </si>
  <si>
    <t xml:space="preserve">We will have to check the feasibility of including the receiver's Company name along with other data in the certificate with Tech.
Before that, we have a few follow-up questions:
Has the client agreed to pass the Entity information? Under 'Company name', we can only have one entry; the receiver's company name(post demerger) will have to be stored in either 'Entity' or 'Additional Info' fields.
Have they finalized the award workflow? Will cross-entity recognitions be allowed?
What other data set might be expected to be displayed on the certificate?
This is done.
Next steps:
The required employee data must first be collected from the client and stored in the employee_details table in our database.
A ticket should be raised for the TechOps team to map the relevant field in the backend to make it available for certificate configuration.
Once mapped, admins can use these dynamic fields while designing certificate templates from the admin dashboard.
Note: Only fields configured by TechOps will appear in the certificate setup panel in addition to the existing default fields. This enhancement currently supports dynamic fields only for recipient-side information (e.g., receiver’s entity, receiver’s designation).
</t>
  </si>
  <si>
    <t>o</t>
  </si>
  <si>
    <t>Ankit Mehta, Nashreen</t>
  </si>
  <si>
    <t>This will be required to be live by the end of September</t>
  </si>
  <si>
    <t>rakesh.das@vantagecircle.com</t>
  </si>
  <si>
    <t>Rakesh Das</t>
  </si>
  <si>
    <t>Request to add a tax disclaimer in reward point credit email communications (Monetary Awards, Milestone Awards, and CSV Awards) as per client requirement. This will ensure users are informed that reward points credited under the program are considered taxable income and applicable TDS will be deducted through payroll as per the Income Tax Act, 1961.</t>
  </si>
  <si>
    <t>The client has requested the inclusion of a tax disclaimer in all email communications where reward points are credited to users. This applies specifically to Monetary Awards, Milestone Awards, and CSV Awards email templates.
The disclaimer should inform users that reward points credited under the reward program are considered taxable income under the Income Tax Act, 1961, and that applicable TDS will be deducted through payroll in the month in which the taxable value is accounted.
Key Actions Required:
Update the email communication templates for Monetary Awards, Milestone Awards, and CSV Awards.
Add the following disclaimer below the email signature in the mailer content as per the client’s request:
“Reward points credited under the reward program are considered as taxable income under the Income Tax Act, 1961. Applicable TDS will be deducted through payroll in the month in which the taxable value is accounted.”
Ensure the disclaimer is included in all future communications where reward points are credited to users for this client.</t>
  </si>
  <si>
    <t>ASPIRE</t>
  </si>
  <si>
    <t>https://vantagecircle.sharepoint.com/sites/Solutions/Shared%20Documents/Apps/Microsoft%20Forms/Solution%20Request%20Form/Question/Screenshot%202026-03-13%20at%204.23.55%E2%80%AFPM_Rakesh%20Das.png</t>
  </si>
  <si>
    <t>4500</t>
  </si>
  <si>
    <t>7,00,000</t>
  </si>
  <si>
    <t>80,00,000</t>
  </si>
  <si>
    <t>Addition of Tax Disclaimer in Reward Point Credit Email Templates (Monetary, Milestone &amp; CSV Awards)</t>
  </si>
  <si>
    <t>This change has been requested by the client to ensure compliance with tax regulations and transparency regarding the taxable nature of reward points. The disclaimer needs to be included in all reward point credit communications (Monetary Awards, Milestone Awards, and CSV Awards) to inform users that applicable TDS will be deducted through payroll. While this does not impact platform functionality, it is important for client compliance and accurate communication to end users, therefore it should be prioritized accordingly.</t>
  </si>
  <si>
    <t>Solution request 134127::Acknowledgment: Birthday Template Customization Request(Aspire Systems)</t>
  </si>
  <si>
    <t>Changing or customising of birthday template on the feed</t>
  </si>
  <si>
    <t>We have received requests from multiple clients during onboarding session where they want to change or customise the birthday templates generated on the feed. Since, a few clients designs all their award, feed banner and certoficate images according to their branding guidelines, they also request for the birthday template as well to be changed or customised. Kindly check if this is possible.</t>
  </si>
  <si>
    <t>Please find the JIRA ticket https://vantagecirclejira.atlassian.net/browse/VC-13620  created for adding the background image to the birthday feed for the client Aspire. Kindly proceed with the requirements as per the ticket.</t>
  </si>
  <si>
    <t>5000</t>
  </si>
  <si>
    <t>7,00,000 annually</t>
  </si>
  <si>
    <t>Change of birthday feed template</t>
  </si>
  <si>
    <t>Friday.We are having a call today 18.09.2025</t>
  </si>
  <si>
    <t xml:space="preserve">Medium Complexity </t>
  </si>
  <si>
    <t>Solution Request 8983 Addverb Technologies</t>
  </si>
  <si>
    <t>My client, Addverb Technologies, has mentioned that their assigned nominators are not submitting nominations as frequently as expected. To help improve the nomination rate, the client is requesting two features:
1. An automated email reminder (nudge) sent from the system to prompt nominators to submit nominations. Please note the client follows a No Budget Concept.</t>
  </si>
  <si>
    <t>My client, Addverb Technologies, has mentioned that their assigned nominators are not submitting nominations as frequently as expected. To help improve the nomination rate, the client is requesting two features:
An automated email reminder (nudge) sent from the system to prompt nominators to submit nominations. Please note the client follows a No Budget Concept.
The ability to edit the attachment included in a submitted nomination. This request stems from the fact that the client requires certain mandatory attachments to be included with every nomination. However, they’ve noticed that nominators often upload incorrect files. When such nominations are declined and nominators are asked to resubmit, they usually don't take any further action—leading to missed nominations.</t>
  </si>
  <si>
    <t>Addverb Technologies Limited</t>
  </si>
  <si>
    <t>We got in touch with the @Product Vantagecircle Team for the first query. They are working on a project to enhance platform utilization. Hence, we will pass on this query to them.
@Shasanka Sharma, please evaluate if this use case can be included in the project:
Client wants to send some notifications to nominators to encourage platform and budget usage. Please note that the client in scope here has the 'No budget' concept.
If yes, please share the tentative timelines with the team.
FYI @Nayan Bhuyan.</t>
  </si>
  <si>
    <t>https://vantagecircle.sharepoint.com/sites/Solutions/Shared%20Documents/Apps/Microsoft%20Forms/Solution%20Request%20Form/Question/Screenshot%202025-07-30%20at%2012.09.54%20PM_Debraj%20Gogoi.png</t>
  </si>
  <si>
    <t>500</t>
  </si>
  <si>
    <t>1,80,000 per annum</t>
  </si>
  <si>
    <t>Email notification, edit nomination</t>
  </si>
  <si>
    <t>My client, Addverb Technologies, has mentioned that their assigned nominators are not submitting nominations as frequently as expected. To help improve the nomination rate, the client is requesting two features:
An automated email reminder (nudge) sent from the system to prompt nominators to submit nominations. Please note the client follows a No Budget Concept.
The ability to edit the attachment included in a submitted nomination. This request stems from the fact that the client requires certain mandatory attachments to be included with every nomination. However, they’ve noticed that nominators often upload incorrect files. When such nominations are declined and nominators are asked to resubmit, they usually don't take any further action—leading to missed nominations.</t>
  </si>
  <si>
    <t>2. The ability to edit the attachment included in a submitted nomination. This request stems from the fact that the client requires certain mandatory attachments to be included with every nomination. However, they’ve noticed that nominators often upload incorrect files. When such nominations are declined and nominators are asked to resubmit, they usually don't take any further action—leading to missed nominations.</t>
  </si>
  <si>
    <t>As for the second query, we already have a 'Reinitiate' feature available (screenshot attached). This feature enables the nominator to edit the whole nomination, be it the award, amount, citations, or attachments. </t>
  </si>
  <si>
    <t>kaushik.bhuyan@vantagecircle.com</t>
  </si>
  <si>
    <t>Kaushik Bhuyan</t>
  </si>
  <si>
    <t>Solution request::220216::Customised award nomination workflow for annual awards for the client Bata.</t>
  </si>
  <si>
    <t>Customised award nomination workflow for annual awards for the client Bata.</t>
  </si>
  <si>
    <t>Requirement Overview:
Bata would like to configure an Annual Award within the platform. As part of the nomination process, they require a custom form to capture specific information related to the nominee’s KPIs and performance criteria. The details collected through the form will be used by leadership for evaluation.
Proposed Flow:
Nominator submits nomination for the Annual Award.
Nominator selects the “Annual Award” category from the award list.
Upon selection, a custom form appears where the nominator can provide required inputs related to predefined criteria (e.g., KPIs, achievements, performance highlights, etc.).
Submitted form details are captured and shared with the CEO for review.
CEO reviews the nominations along with the submitted form details.
CEO selects and approves the top 3 winners based on the information provided in the form.</t>
  </si>
  <si>
    <t xml:space="preserve">After reviewing the request, we would like to highlight that a custom nomination form that appears for the nominator during submission is currently not supported in the platform.
However, the following alternative can be considered to achieve a similar outcome:
Using the Recognition Message &amp; Attachment
The nominator can provide detailed information related to the nominee’s KPIs, achievements, and performance highlights in the Recognition Message section while submitting the nomination.
Additionally, the nominator can upload a supporting document or form containing structured details as an attachment.
This information will then be available for approver to review during the evaluation process.
</t>
  </si>
  <si>
    <t>https://vantagecircle.sharepoint.com/sites/Solutions/_layouts/15/Doc.aspx?sourcedoc=%7B72BCD311-AF95-4039-871D-4BFC65790D49%7D&amp;file=Nomination_Submission_Sample%20-%20SCM_Kaushik%20Bhuyan.xlsx&amp;action=default&amp;mobileredirect=true</t>
  </si>
  <si>
    <t>Approx 1000</t>
  </si>
  <si>
    <t>216000 annually</t>
  </si>
  <si>
    <t>1000000 annually for first year</t>
  </si>
  <si>
    <t>Custom award nomination for annual award</t>
  </si>
  <si>
    <t>Urgent. Client is planning to launch the Annual award by the end of the financial year tentatively on the last week of march 2026.</t>
  </si>
  <si>
    <t xml:space="preserve">Low </t>
  </si>
  <si>
    <t>Solution Request 9185 Award Date in Certificate</t>
  </si>
  <si>
    <t>AWARD DATE IN CERTIFICATE</t>
  </si>
  <si>
    <t>THE GIVER SHOULD BE ABLE TO ADD THE AWARD DATE IN THE CERTIFICATE, FOR INSTANCE AWARD FOR MONTH OF JUNE IS GIVEN IN MONTH OF JULY &amp; MAYBE GETS APPROVED IN AUGUST OR LATER. SO CURRENTLY WE HAVE FUNCITIONALITY TO DISPLAY APPROVAL MONTH HOWEVER AWARD IS FOR JUNE PERIOD FOR WHICH WE DON'T HAVE ANY MECHANISM</t>
  </si>
  <si>
    <t>BLUESTAR &amp; KOTAK</t>
  </si>
  <si>
    <t xml:space="preserve">Our understanding: The certificate should have the option to show the nomination month for the award. The same request has been made by Bluestar, Kotak, and GroupM.
We are assessing the feasibility of this request and will update you with any progress we have.
As discussed today in the call, this is being accessed by @Product Vantagecircle Team.
FYI @Nayan Bhuyan, @Shasanka Sharma, @Md. Nur Islam Rohman.
</t>
  </si>
  <si>
    <t>85000</t>
  </si>
  <si>
    <t>ANKIT MEHTA</t>
  </si>
  <si>
    <t>ONGOING</t>
  </si>
  <si>
    <t>nabab.sharif@vantagecircle.com</t>
  </si>
  <si>
    <t>Nabab Sharif</t>
  </si>
  <si>
    <r>
      <rPr>
        <sz val="11"/>
        <color rgb="FF000000"/>
        <rFont val="Calibri"/>
        <scheme val="minor"/>
      </rPr>
      <t>Solution Request 111104</t>
    </r>
    <r>
      <rPr>
        <sz val="10"/>
        <color rgb="FF000000"/>
        <rFont val="Aptos"/>
      </rPr>
      <t>::Recommendation Against Custom Point Redemption Nudge – BNY Mellon</t>
    </r>
  </si>
  <si>
    <t>Client wants to send a customized points redemption reminder</t>
  </si>
  <si>
    <t>Please customise the template as below:
Subject: Action Required – Use Your Pending Vantage Points by September 15
Hi [Employee Name],
We noticed that you still have [X Points] available in your Vantage Wallet. These points are yours to redeem for exciting rewards — but they must be redeemed by September 15, 2025.
After this date, your Vantage Wallet account will no longer be active, and any unused points will lapse.
Here’s how to redeem your points:
	1.	Log in to your Vantage Circle account.
	2.	Go to your Vantage Wallet.
	3.	Redeem your points for the rewards of your choice.
Don’t miss out on making the most of your hard-earned points.
Redeem Now → [Insert CTA Button/Link]
If you have any questions or need help redeeming your points, please reach out to [Support Email/Helpdesk Link].</t>
  </si>
  <si>
    <t>BNY Mellon</t>
  </si>
  <si>
    <t xml:space="preserve">Please find our observations and rationale regarding the request for a customized point redemption nudge:
The client is billed at the time of point allocation, and as of yesterday, approximately 5,289 employees hold points, with a total balance of ~₹40 lakh.
There are already four system-generated nudges configured for point redemption, which are sent on the 10th, 14th, 28th, and 29th of each month. These are generic and recurring notifications applicable to users with points balance.
Based on this existing setup, the client’s employees will receive six nudges between now and September 15, 2025.
Given the frequency and existing coverage of these communications, introducing an additional customized nudge is not recommended. Moreover, the request specifies inclusion of a fixed date in the message, which would render the nudge non-reusable and limit its effectiveness beyond this specific instance.
Additionally, as we are currently in the middle of an active sprint, planning for this development in the next sprint would not be prudent.
In light of these considerations, we are unable to accommodate this request from the client. </t>
  </si>
  <si>
    <t>15000</t>
  </si>
  <si>
    <t>2cr+</t>
  </si>
  <si>
    <t>Email Notification Customization</t>
  </si>
  <si>
    <t>Client wants to use the unredeemed points against Gifting</t>
  </si>
  <si>
    <t>Custom Requirement from Tata Chemicals – Entity-based Setup for Awards and Service Yearbook</t>
  </si>
  <si>
    <t>Customization in award workflow and Service Yearbook setup for multi-entity configuration.</t>
  </si>
  <si>
    <t>Tata Chemicals, a long-standing client, follows a non-standard award workflow where nomination and approval roles are flexibly assigned without predefined relationships. Currently, approvers are manually configured under each department via the ‘Manage Department’ section.
With the addition of a new child entity under the same instance, this manual process has become inefficient. The client is requesting a parent-child structure to streamline configuration across multiple entities, reduce manual overhead, and support cross-entity recognition without creating separate instances.
Additionally, from a Service Yearbook (SY) perspective, Tata Chemicals is considering two separate SY programs due to differing leadership and policies between entities. While a unified SY setup is currently proposed, the feasibility of supporting entity-wise SY configurations (e.g., through advanced filtering) is being explored for future scalability.
Key Actions Required:
Assess the feasibility of implementing a parent-child award workflow configuration.
Evaluate technical effort and roadmap impact of supporting entity-wise Service Yearbook configurations.</t>
  </si>
  <si>
    <t>Tata Chemicals</t>
  </si>
  <si>
    <t>Thank you for submitting the form. Let us connect next week to discuss this.</t>
  </si>
  <si>
    <t>3000+</t>
  </si>
  <si>
    <t>33600</t>
  </si>
  <si>
    <t>10,00,000</t>
  </si>
  <si>
    <t>Entity based configuration</t>
  </si>
  <si>
    <t>Preetisha</t>
  </si>
  <si>
    <t>Medium priority</t>
  </si>
  <si>
    <t>gunagubinda.bora@vantagecircle.com</t>
  </si>
  <si>
    <t>Guna Gubinda Bora</t>
  </si>
  <si>
    <t>Solution request 207203::Requirement for Creation of a Secondary Wallet for Targeted Employee Group</t>
  </si>
  <si>
    <t>Requirement for Creation of a Secondary Wallet for Targeted Employee Group.</t>
  </si>
  <si>
    <t>The client has requested the creation of a secondary wallet on the platform specifically to support employee incentivization initiatives. This wallet is intended to be provisioned only for a defined group of employees, with eligibility determined using “Department field/Group Type” as the unique identifier. The system should ensure that the secondary wallet is created exclusively for employees mapped to the specified group type, while remaining unavailable to others outside this category. This enhancement will enable the client to run targeted incentive programs in a controlled and structured manner.</t>
  </si>
  <si>
    <t>Bosch RBIN - 971</t>
  </si>
  <si>
    <t>creating a secondary wallet for a specific department and removing surcharges for selected employee groups is not feasible due to platform limitations. Multi‑wallet functionality and surcharge settings apply at the company-wide level and cannot be restricted or customized for specific groups. No further action is possible on this requirement under the current system constraints.</t>
  </si>
  <si>
    <t>3482</t>
  </si>
  <si>
    <t>Rs 19.25 employee/month</t>
  </si>
  <si>
    <t>9300000</t>
  </si>
  <si>
    <t>Secondary wallet</t>
  </si>
  <si>
    <t>Solution Request:115108::Confirmation on Announcement Email Subject Line Customisation</t>
  </si>
  <si>
    <t>A new request has come up from my client Celebal Technologies to modify the Subject line of the email the recipient receives on making an announcement. Currently, the subject line of the email that the recipient receives says - New Announcement [Sent to : user email] [CC: ]. The client wants it to be modified to - "New Announcement followed by the Announcement Title".</t>
  </si>
  <si>
    <t>Celebal Technologies</t>
  </si>
  <si>
    <t>The change is feasible and will be picked in the next sprint.A JIRA ticket need to be created and assigned to Nibir Bora</t>
  </si>
  <si>
    <t>2300</t>
  </si>
  <si>
    <t>4,14,000</t>
  </si>
  <si>
    <t>600000</t>
  </si>
  <si>
    <t>Announcement Email Notification Subject Line</t>
  </si>
  <si>
    <t>High priority</t>
  </si>
  <si>
    <t>Solution Request 110103:: Feasibility Check Requests from Client Coforge on Platform Capabilities</t>
  </si>
  <si>
    <t xml:space="preserve">We have received some queries from our client to check for feasibility on the platform. </t>
  </si>
  <si>
    <t>Please review the below queries from Coforge and advise on feasibility, available options, and any dependencies:
1. Integration with Internal Platform (IEngage)
- Possibility of integrating the Vantage Recognition solution with Coforge’s internal IEngage platform.
- Required details: Integration method, data exchange scope, and any limitations.
2. Manager Gifting – Wallet Top-Up
- In the Manager gifting feature, can managers personally top up the wallet amount from their side, instead of the company funding the wallet?
- Required details: Process flow, permissions, and any compliance considerations.
3. Integration with Yammer
- Capability to integrate Vantage Recognition with Microsoft Yammer for recognition posts/notifications.
- Required details: Possible integration approach, scope, and dependencies.
4. Budget Segregation by Location
- Can BU/department budgets be further segregated from country level to city or region level?
- Required details: System capability, reporting impact, and configuration effort.</t>
  </si>
  <si>
    <t>Coforge</t>
  </si>
  <si>
    <r>
      <rPr>
        <sz val="11"/>
        <color rgb="FF000000"/>
        <rFont val="Calibri"/>
      </rPr>
      <t xml:space="preserve">Response from Solutions team are in blue font.   Integration with Internal Platform (IEngage)
</t>
    </r>
    <r>
      <rPr>
        <sz val="11"/>
        <color rgb="FF0070C0"/>
        <rFont val="Calibri"/>
      </rPr>
      <t xml:space="preserve">Could you please help us understand the scope of this integration and provide more details about the IEngage platform?
</t>
    </r>
    <r>
      <rPr>
        <sz val="11"/>
        <color rgb="FF000000"/>
        <rFont val="Calibri"/>
      </rPr>
      <t xml:space="preserve">
2. Manager Gifting – Wallet Top-Up
- In the Manager gifting feature, can managers personally top up the wallet amount from their side, instead of the company funding the wallet?
</t>
    </r>
    <r>
      <rPr>
        <sz val="11"/>
        <color rgb="FF0070C0"/>
        <rFont val="Calibri"/>
      </rPr>
      <t xml:space="preserve">No, this is not supported. Wallet top-ups are strictly budget-driven and can only be funded through company-assigned budgets.
</t>
    </r>
    <r>
      <rPr>
        <sz val="11"/>
        <color rgb="FF000000"/>
        <rFont val="Calibri"/>
      </rPr>
      <t xml:space="preserve">
3. Integration with Yammer
- Capability to integrate Vantage Recognition with Microsoft Yammer for recognition posts/notifications.
</t>
    </r>
    <r>
      <rPr>
        <sz val="11"/>
        <color rgb="FF0070C0"/>
        <rFont val="Calibri"/>
      </rPr>
      <t xml:space="preserve">Yes, this integration is feasible and will be managed by our tech team.
</t>
    </r>
    <r>
      <rPr>
        <sz val="11"/>
        <color rgb="FF000000"/>
        <rFont val="Calibri"/>
      </rPr>
      <t xml:space="preserve">
4. Budget Segregation by Location
- Can BU/department budgets be further segregated from country level to city or region level?
</t>
    </r>
    <r>
      <rPr>
        <sz val="11"/>
        <color rgb="FF0070C0"/>
        <rFont val="Calibri"/>
      </rPr>
      <t>Yes, this is possible. If the client can provide the relevant stakeholder details—such as country heads, city heads, or region heads—we can allocate budgets accordingly to each level. This allows for more granular control over budget distribution based on organizational structure.</t>
    </r>
  </si>
  <si>
    <t>34000</t>
  </si>
  <si>
    <t>India, US</t>
  </si>
  <si>
    <t>2000000</t>
  </si>
  <si>
    <t>5 Cr.</t>
  </si>
  <si>
    <t>Client requirements</t>
  </si>
  <si>
    <t>2
Client wants to explore the feasibilities before pushing it to the next stage</t>
  </si>
  <si>
    <t>Solution request 123116::RFP questions for Coforge</t>
  </si>
  <si>
    <t>Our client Coforge has shared a features document with us for review. We need to evaluate all the points and provide our responses on the availability and the feasibility around the same.</t>
  </si>
  <si>
    <t>We need to answer the queries to the best of our capabilities as this is going to get compared side by side with other vendors as well.</t>
  </si>
  <si>
    <t xml:space="preserve">Hello @Abhisek Sharma,
Thank you for submitting the solutions request forms.
You are requested to utilize the RFP tool to complete the preliminary responses and highlight the areas where you would specifically require our assistance
</t>
  </si>
  <si>
    <t>https://vantagecircle.sharepoint.com/sites/Solutions/_layouts/15/Doc.aspx?sourcedoc=%7B7FCA2D01-E71A-45C7-8AB1-F3F2F677FD3D%7D&amp;file=Coforge_Platform%20Details_Abhisek%20Sharma.xlsx&amp;action=default&amp;mobileredirect=true</t>
  </si>
  <si>
    <t>30000+</t>
  </si>
  <si>
    <t>3500000</t>
  </si>
  <si>
    <t>10 Cr.</t>
  </si>
  <si>
    <t>Feature list</t>
  </si>
  <si>
    <t>victoria.snyders@vantagecircle.com</t>
  </si>
  <si>
    <t>Victoria Snyders</t>
  </si>
  <si>
    <t>Solution Request 120113::RFP points for CQ Fluency</t>
  </si>
  <si>
    <t>Gift card options: Brazil, Argentina, Colombia, Egypt</t>
  </si>
  <si>
    <t>I have a prospect asking about reward marketplace options for their LATAM employees. 
1. Can you please provide a spreadsheet of all gift cards + additional rewards available for their employees located in: Brazil, Argentina, Colombia, Egypt?
2. Can you confirm if our digital "reward" store which includes audiobooks, ebooks/magazines, games, movies, music is available for redemption in the marketplace?</t>
  </si>
  <si>
    <t>CQ Fluency</t>
  </si>
  <si>
    <t xml:space="preserve">Response1:
@Pinku Roy Requesting your support to assist Victoria with this.
Response2:
Please find below the region-wise availability:
Audiobooks – Available in all countries
eBooks – Available in all countries
eMagazines – Available in all countries
Games – Available in the United States, Greece, Netherlands, Belgium, France, Spain, Italy, Switzerland, Austria, and the United Kingdom
Movies – Available in all countries
Music – Available in the United States, United Kingdom, and Canada
</t>
  </si>
  <si>
    <t>300</t>
  </si>
  <si>
    <t>USA</t>
  </si>
  <si>
    <t>3.80-4.49 USA PUPM</t>
  </si>
  <si>
    <t>$60 per employee, per year</t>
  </si>
  <si>
    <t>Marketplace Options</t>
  </si>
  <si>
    <t>Victoria</t>
  </si>
  <si>
    <t>Prefer a response within the next 24 hours</t>
  </si>
  <si>
    <t>Solution request213209::Amazon Store integration for Panama and Puerto Rico</t>
  </si>
  <si>
    <t>Amazon Store For Panama and Puerto Rico</t>
  </si>
  <si>
    <t>One of our clients, CSA Group, would like to proceed with the Amazon store. I have already enabled it.
I wanted to confirm whether users located in Puerto Rico and Panama will be able to receive deliveries through Amazon.
If deliveries are supported:
Will this fall under Amazon US, or
Would we need a separate integration or marketplace setup for these regions?
Please let me know how this should be configured.</t>
  </si>
  <si>
    <t>CSA Group</t>
  </si>
  <si>
    <t>A jira ticket is created to check the feasibility.</t>
  </si>
  <si>
    <t>1435$ Per month</t>
  </si>
  <si>
    <t>n/a</t>
  </si>
  <si>
    <t>RNR</t>
  </si>
  <si>
    <t>NO</t>
  </si>
  <si>
    <t>KamalikaPhukan</t>
  </si>
  <si>
    <t>https://vantagecirclejira.atlassian.net/browse/VC-15035</t>
  </si>
  <si>
    <t>Solution Request222218::Alignment Required::Department Field Usage Impacting Platform Features (Decera Clinical)</t>
  </si>
  <si>
    <t>Currently, we are populating Job Titles under the Department field in the employee details because the client wanted the job titles to appear under the Name section in the user profile.</t>
  </si>
  <si>
    <t>This approach will impact the Insights and the filters in the Admin Dashboard, as most of the filters are department-specific and rely on the Department field being used correctly.
To resolve this, we should use one of the Additional Info fields to store the Job Titles and map it from the backend so that it continues to appear in the user profile. Once this is done, we can revert the Department column back to its original department data to ensure that the Insights and Admin Dashboard filters function correctly.</t>
  </si>
  <si>
    <t>Decera Clinical</t>
  </si>
  <si>
    <t>Discussion Summary
Currently, the Job Title/Designation has been mapped under the Department field to display the designation below the employee name in the profile.
Since Department is a core product field used for Insights segmentation, reporting, dashboard filters, and recognition analytics, using it for Job Title may lead to inconsistencies in platform functionality.
Agreed Corrective Approach
Store Job Titles/designation in the Additional Info1 field in the employee data.
Revert the Department column back to the correct department data,</t>
  </si>
  <si>
    <t>9990 USD</t>
  </si>
  <si>
    <t>canderson@cealliance.com</t>
  </si>
  <si>
    <t>It is a high priority requirement as they would want to use the insights and reports feature once the monetary module is rolled out.</t>
  </si>
  <si>
    <t>Solution Request 113106::Request for Feasibility Check – Department-Specific Automated Report for Edelman</t>
  </si>
  <si>
    <t>A monthly automated report for Edelman</t>
  </si>
  <si>
    <t>The client would like to set up a new automated report to be sent once a month to a selected group of employees, containing only the information for their respective departments. For example, Employee X would receive a report with data specific to their department.
The client will provide the list of recipients with their departments, but for now, they would like to confirm feasibility and request test reports for the HR and IT departments. Attached the report format.</t>
  </si>
  <si>
    <t>Edelman</t>
  </si>
  <si>
    <t>HR Admin Access to Department-Specific Reports via Dashboard:
This functionality is already available in the dashboard . HR admins can be assigned to specific departments, allowing them to view reports exclusively for those departments through the dashboard.
Role-Based Access for Reports:
This feature is currently in the product roadmap and under development. It aims to enable admins to have access limited to specific reports, ensuring they can only view the reports assigned to them on the dashboard.
@Armaan Siddique – Could you please provide more details and share the target completion date?
Restricted Role for Report Access Only:
A dedicated role can be created where users will have permission only to view and download reports—without access to any other areas of the admin dashboard. @Armaan Siddique Can you confirm if this requirement is also being addressed as part of the ongoing enhancement?</t>
  </si>
  <si>
    <t>https://vantagecircle.sharepoint.com/sites/Solutions/_layouts/15/Doc.aspx?sourcedoc=%7B4A84EB5B-DBB2-4D69-BFA7-30D759759F86%7D&amp;file=Example%20of%20Monthly%20Recognition%20Report%20(1)_Kamalika%20Phukan.xlsx&amp;action=default&amp;mobileredirect=true</t>
  </si>
  <si>
    <t>1.375</t>
  </si>
  <si>
    <t>70000</t>
  </si>
  <si>
    <t>High priority, as the reporting is required for billing and tracking purposes. Currently, the client is pulling different reports from multiple sources to get the information they need.</t>
  </si>
  <si>
    <t>Solution Request 8074 ::Monthly Budget Reminder Email for Edelman</t>
  </si>
  <si>
    <t>Monthly Budget Reminder Email for Edelman</t>
  </si>
  <si>
    <t>Edelman's workflow is set to auto-approve, and every user in the organization is a budget holder. They currently follow a quarterly budget allocation process.
Going forward, they would like to implement a monthly reminder email to notify users to utilize their available budget.
Please let me know how we can support this request</t>
  </si>
  <si>
    <t>Edelman Financial engines</t>
  </si>
  <si>
    <t xml:space="preserve">JIRA ticket VC-12698 is created to enable the monthly budget reminder email, which notifies users to utilize their available budget. </t>
  </si>
  <si>
    <t>https://vantagecirclejira.atlassian.net/browse/VC-12698</t>
  </si>
  <si>
    <t>nashreen.akhtar@vantagecircle.com</t>
  </si>
  <si>
    <t>Nashreen Akhtar</t>
  </si>
  <si>
    <t>Solution Request 10497 Receiver Validations LTTS</t>
  </si>
  <si>
    <t xml:space="preserve">An employee receiving multiple nominations for a same front end award should get an notification screen mentioning that the same user has been nominated by other nominators for the same award. </t>
  </si>
  <si>
    <t xml:space="preserve">Duplication of Nominations for the Same Individual -
While SPOT nominations are open to across LTTS, it would be beneficial to introduce a system feature that notifies users if a nomination already exists for a particular individual. A pop-up alert could inform the nominator of the existing entry, and an additional tab could be provided to submit a justification or reason for the new nomination. These reasons can later be consolidated and published collectively if the individual is selected as a winner.
 </t>
  </si>
  <si>
    <t xml:space="preserve">We’ve reviewed the requirements internally, and we have outlined the possibilities per our current product capabilities:
Limiting one award per nominee: This can be achieved through custom effort by implementing receiver validation to ensure that each user can be nominated only once for each award. 
Visibility into prior nominations: This functionality is outside the current scope of the product and may not always be meaningful — especially when nominations pertain to different projects or tasks. There’s also a potential risk of bias if previous nominations are visible.
Alternative via the upcoming ‘Boost’ feature
To address the underlying need for collaborative recognition, our upcoming ‘Boost’ feature may be a good fit.
It allows users to top up an existing award directly from the Feed.
A nominator can add their citation as 'Comments', effectively contributing their recognition without generating a separate award.
This keeps the recognition streamlined, aligns with the “one award per person” rule, and still provides space for multiple contributors to acknowledge the same effort.
We hope this approach can balance the intent behind the requirement with the capabilities and direction of the product.
I have reconfirmed point 1 with Tech. A nominee may be nominated once for each award, but cannot be nominated multiple times for the same award. For instance, if Nashreen is nominated for Award A, she cannot be nominated again for the same award by someone else. However, she remains eligible to be nominated for other awards.
Once confirmed by the client, we will need a list of all the Awards this validation should be applied to.
Total effort, including testing and grace period, will be 2 weeks, i.e., 10 mandays. 
</t>
  </si>
  <si>
    <t>10000 plus</t>
  </si>
  <si>
    <t>Solution Request:8781::Monthly budget reminder email in Dashboard’s</t>
  </si>
  <si>
    <t>monthly budget reminder email change</t>
  </si>
  <si>
    <t xml:space="preserve">
I’ve received additional input from the client — they would like to change both the subject line and the body content of the monthly budget reminder email. Please see their suggested version below:
Subject: You’ve Got We Applaud Points to Use! 🌟
Hi [name],
Have you seen someone going above and beyond for a client, teaming up to solve a challenge, offering honest feedback or asking thoughtful questions? That’s our CORE values in action — Client First, One Team, Respectful Candor, and Endless Curiosity.
You still have We Applaud points to use, don’t miss the chance to recognize a teammate!
Below is a summary of your remaining budget.
---------</t>
  </si>
  <si>
    <t>The customization requested by Edelman to modify the monthly budget email is highly specific and would require structural changes to the existing template, affecting all clients and potentially causing inconsistency. After consulting with the Recognition team, we recommend continuing with the current process to maintain consistency across the client base.</t>
  </si>
  <si>
    <t>1800</t>
  </si>
  <si>
    <t>2.80</t>
  </si>
  <si>
    <t>n.a</t>
  </si>
  <si>
    <t>Kamalika phukan</t>
  </si>
  <si>
    <t>Solution Request 10699 ICICI Reminder Emails and Nomination Edit Rights</t>
  </si>
  <si>
    <t>1. Repeat nomination alert (repeat nomination in 1 month)– Can we have repeat nomination alert for Nominator / approver 
2. Allow edits to approver – Approver should be able to edit the narration before approve &amp; publish this is ensure award descriptions are correct.</t>
  </si>
  <si>
    <t>1. If nominator have not nominated or approver have not approved for one award, is it possible to set alert for one month and repeat that alert. Approval reminder email and nomination reminder email is what they are referring to and duration to repeat the same is 1 month. 
2. Editing the recognition message/business justification by approver before approving a award</t>
  </si>
  <si>
    <t>We have certain email reminders in the system:
A budget summary email, sent to Budget Holders twice a month, i.e., the second and fourth Thursdays of every month.
Please note that if the Nominators hold the budget, then this email can be enabled for the client else for Nominators, who may not have budget, the email is planned in the roadmap.
Has the client perhaps shared what information they want in this particular email? FYI @Shasanka Sharma.
A pending approval email, sent to approvers every Tuesday if they have pending nominations older than 5 days but not more than 27 days.
The approver can not edit the recognition message or the business justification. (They can edit the award amount if they hold the budget)
If the Approver wishes, they can decline the nomination and mention the reason for declining. The nominator can then re-initiate the award and make the edits in the nomination as required.</t>
  </si>
  <si>
    <t>Mumbai</t>
  </si>
  <si>
    <t>INR 9,00,000</t>
  </si>
  <si>
    <t>Total budget not mentioned</t>
  </si>
  <si>
    <t>High priority as client is Live with Phase 1 and going live with Phase 2 and 3 in coming weeks</t>
  </si>
  <si>
    <t>Solution Request 130123::Request to Include “All” Option in Upcoming Milestone Tab</t>
  </si>
  <si>
    <t>Edelman has requested to include an “All” option in the upcoming milestone tab, in addition to the existing 1 year, 2 year, 3 year, and so on. Their concern is that, at times, certain years don’t have any anniversaries, and it becomes difficult for them to check department-wise without filtering each year one by one.
By having an “All” option, they would be able to view all anniversaries across departments in a single filter, which I feel is a valid ask.
Please let me know your thoughts on this.</t>
  </si>
  <si>
    <t>Based on our understanding, Edelman has requested the addition of an “All” filter option in the Upcoming Milestones tab—alongside the existing filters for 1 year, 2 years, 3 years, etc.
This request is currently part of the product team’s roadmap. @Armaan Siddique,could you please assist by sharing further details on this?</t>
  </si>
  <si>
    <t>https://vantagecircle.sharepoint.com/sites/Solutions/Shared%20Documents/Apps/Microsoft%20Forms/Solution%20Request%20Form/Question/image001%20(20)_Kamalika%20Phukan.png</t>
  </si>
  <si>
    <t>1.37</t>
  </si>
  <si>
    <t>60000</t>
  </si>
  <si>
    <t>Medium, as of now we want to know the feasibility and if its high level customization</t>
  </si>
  <si>
    <t>Solution Request 152147::Feasibility of Increasing CSV Upload Limit to 400</t>
  </si>
  <si>
    <t>Increasing CSV Upload Limit to 400</t>
  </si>
  <si>
    <t>Checking the feasibility of increasing the CSV upload limit to 400, so that even if 400 users are uploaded at once, the feed is generated, rather than only generating feeds for groups of 50 users.</t>
  </si>
  <si>
    <t>The platform already supports CSV uploads of up to 500 users, so uploading 400 users is feasible.
However, for feed generation, there's a limit of 50 users per feed group.
To successfully generate feeds for 400 users, they must be divided into groups of 50 or fewer.</t>
  </si>
  <si>
    <t>1700</t>
  </si>
  <si>
    <t>High as they are having client appreciation week this friday</t>
  </si>
  <si>
    <t xml:space="preserve">Low Complexity </t>
  </si>
  <si>
    <r>
      <t xml:space="preserve">Solution request 139132::Acknowledgment of Solution Form Request – </t>
    </r>
    <r>
      <rPr>
        <sz val="12"/>
        <color rgb="FF000000"/>
        <rFont val="Segoe UI"/>
        <charset val="1"/>
      </rPr>
      <t>Godrej</t>
    </r>
    <r>
      <rPr>
        <sz val="12"/>
        <color rgb="FF242424"/>
        <rFont val="Segoe UI"/>
        <charset val="1"/>
      </rPr>
      <t xml:space="preserve"> Capital</t>
    </r>
  </si>
  <si>
    <t>Our client Godrej capital has shared some queries related to Panel Awards. Details below</t>
  </si>
  <si>
    <t>The requirement is automating nomination shortlisting for the value champions awards before it goes to the panel.
Rules for shortlisting the write up for the panel-
Should include Situation, Behaviour &amp; Impact
Behaviour in the nomination should be related to the behaviours for the selected value</t>
  </si>
  <si>
    <t>There is currently no automated process in place for shortlisting nominations. Once a nomination is submitted, it can be forwarded to the reviewer for validation or further review.</t>
  </si>
  <si>
    <t>2000+</t>
  </si>
  <si>
    <t>400000</t>
  </si>
  <si>
    <t>5000000</t>
  </si>
  <si>
    <t>Solution Request 9184::Customised Experiences on the platform for HUL</t>
  </si>
  <si>
    <t>Customized Experiences on the platform for HUL</t>
  </si>
  <si>
    <t>Is there scope for us to suggest and help curate the experience specifically for HUL?</t>
  </si>
  <si>
    <t>Hindustan Unilever Limited</t>
  </si>
  <si>
    <t>Based on our discussion with Piyush, HUL aims to enable the Experience feature with a key requirement that all offers must be valid only within India. We explored two options:
Hammock Holidays
Supports resort stays within India.
Ideal for domestic travel.
Does not cover dining or other experience types.
Switchfly
Offers a wide range of experiences (dining, holidays, activities).
Supports both domestic and international options.
Provides more variety but doesn't restrict to India.</t>
  </si>
  <si>
    <t>9000</t>
  </si>
  <si>
    <t>150000</t>
  </si>
  <si>
    <t>Perks &amp; Redemption</t>
  </si>
  <si>
    <t>Solution Request 179176::WhatsApp OTP Delivery Options for Hyundai Capital Employees</t>
  </si>
  <si>
    <t xml:space="preserve">As informed to Hemanga, Hyundai Capital has 9 employees who are OOO right now.
These employees are unable to access their work email (firstname.lastname@hcs.com) due to which they wont be able to redeem their points (as gift card OTPs are sent to email). Can these users receive OTPs over whatsapp if their numbers were available to us ? </t>
  </si>
  <si>
    <t>Hyundai Capital</t>
  </si>
  <si>
    <t>Our platform can send OTPs via WhatsApp for non-network employees. However, for network employees, OTPs can only be delivered to their registered official email ID, as this is the standard security requirement.
From the information we have, it appears that these 9 employees may fall under the network employee category, since they are registered with official Hyundai Capital email addresses. If this is correct, WhatsApp OTP delivery would not be available for them.
That said, if you could please confirm whether these employees are indeed non-network employees, we would proceed to enable WhatsApp OTP delivery for them.</t>
  </si>
  <si>
    <t>200</t>
  </si>
  <si>
    <t>CAD 360000</t>
  </si>
  <si>
    <t>OTP on Whatsapp for OOO employees</t>
  </si>
  <si>
    <t>Kunal maheshwari</t>
  </si>
  <si>
    <t>Low complexity</t>
  </si>
  <si>
    <t>Solution Request::135128 Explore Feasibility of Adding Multiple Winner Selectors for Panel Awards</t>
  </si>
  <si>
    <t>Two winner selector in Panel award</t>
  </si>
  <si>
    <t>Hyundai has requested adding two winner selectors for the panel award. This seems like a valid request because if there is only one winner selector and they are on leave or unavailable, the winner cannot be announced. Having two winner selectors ensures that the announcement can proceed even if one is unavailable.</t>
  </si>
  <si>
    <t>Hyundai Capital Canada</t>
  </si>
  <si>
    <t xml:space="preserve">A separate delegation role will be created specifically for the Winner Selector.
When delegated, the delegate will inherit the same functions as the original Winner Selector.
The delegate must act within the Winner Selection period configured during setup.
There will be no bypass rule — if the timeline is exceeded, it will not auto-shift to the delegate.
All other Winner Selector functionalities will remain unchanged.
</t>
  </si>
  <si>
    <t>3.15 CAD</t>
  </si>
  <si>
    <t>2000 CAD</t>
  </si>
  <si>
    <t>High, as it ongoing panel award functionality</t>
  </si>
  <si>
    <t>Saturday</t>
  </si>
  <si>
    <t>Solution Request 175172::Feasibility Check for Hyundai’s Holiday Gifting Requirements</t>
  </si>
  <si>
    <t xml:space="preserve">Include a banner on top of email notification sent to employees. This will be a custom email.
Include confetti or celebration pop up when a user logs in for first time (on or after 13th Dec) </t>
  </si>
  <si>
    <t>Logo Changes: Cannot replace the logo with a banner; color changes apply globally and may cause visibility issues on a white background.
Holiday Email: Customization is possible, but logo section remains standard.
Festive Enhancements: Confetti pop-up and Christmas animation in gift card section are feasible.
Next Steps: Hyundai must confirm activation timeline and provide the open banner image file for implementation before the planned 13th December launch.</t>
  </si>
  <si>
    <t>250</t>
  </si>
  <si>
    <t>400000 CAD</t>
  </si>
  <si>
    <t>Holiday Celebrations</t>
  </si>
  <si>
    <t xml:space="preserve">This opportunity is worth CAD 400,000.
Include a banner on top of email notification sent to employees. This will be a custom email.
Include confetti or celebration pop up when a user logs in for first time (on or after 13th Dec) </t>
  </si>
  <si>
    <t>Solution Request 10396::ICICI Lombard – Profile &amp; Platform Customization Requests</t>
  </si>
  <si>
    <t>1. Removal of 'Receive occasional mail about special offers (not more than once a week).' and 'Require my consent and approval before any recognition(s) are published on the feed in the platform' from My Profile section under Edit profile
2. Removal of FAQ section from platform that appears on clicking profile
3. Customization of Manager Guide based on client guidelines
These are for the client ICICI Lombard</t>
  </si>
  <si>
    <t>1. Removal of 'Receive occasional mail about special offers (not more than once a week).' and 'Require my consent and approval before any recognition(s) are published on the feed in the platform' from My Profile section under Edit profile
2. Removal of FAQ section from platform that appears on clicking profile
3. Customization of Manager Guide based on client guidelines</t>
  </si>
  <si>
    <t>We have thoroughly reviewed the requirements and consulted with the Tech-Ops team. They have confirmed that removing the two options from the 'My Profile' section and the FAQ section from the user profile is technically feasible and can be implemented for the client without affecting the overall platform functionality. However, the request to customize the Manager Guide would require changes to a core, standardized part of the platform. Implementing this could impact product consistency and long-term maintainability across clients, so it is currently out of scope and not recommended.</t>
  </si>
  <si>
    <t>Not a fixed budget</t>
  </si>
  <si>
    <t>Medium Complex</t>
  </si>
  <si>
    <t>rithik.chowdhury@vantagecircle.com</t>
  </si>
  <si>
    <t>Rithik Chowdhury</t>
  </si>
  <si>
    <t>Solution Form Request 145140::Need Assistance for Indigo Perks RFP Questions</t>
  </si>
  <si>
    <t xml:space="preserve">Indigo RFP questions for perks </t>
  </si>
  <si>
    <t>require assistance for some RFP Questions which I will send over email</t>
  </si>
  <si>
    <t>Indigo</t>
  </si>
  <si>
    <t>Solutions provided in the document</t>
  </si>
  <si>
    <t>40000+</t>
  </si>
  <si>
    <t>Vantage Perks</t>
  </si>
  <si>
    <t>High priority(Ongoing RFP)</t>
  </si>
  <si>
    <t>himank.gupta@vantagecircle.com</t>
  </si>
  <si>
    <t>Himank Gupta</t>
  </si>
  <si>
    <t>Customisation requirement for TCS AI Hackathon</t>
  </si>
  <si>
    <t>Customization for redemption of multiple award items for a Hackathon contest as per total reward for the given category</t>
  </si>
  <si>
    <t>This is regarding TCS, for which we have already shared a catalogue of Tech products, Gift Cards, and Experiences. The client intends to activate these options selectively across different budget ranges.
They are conducting a global AI Hackathon with multiple award categories, each having its own budget. Winners of the progressive stages will be awarded rewards that they can redeem from the overall catalogue, within the budget assigned to their category.
For example, there are 4–5 different categories, with budgets ranging from ₹500 up to ₹1,50,000. While the full catalogue will remain common, access to products will be enabled based on the respective price range of each category.</t>
  </si>
  <si>
    <t>TCS</t>
  </si>
  <si>
    <t>As per our understanding, TCS is looking for a curated catalog for the winners of the Hackathon.
We have discussed with the concerned teams, and this primarily looks feasible. The following steps outline the user journey as per the feasibility of our system:
Winner List Sharing:
After each stage of the contest, TCS will share a list of winners along with the corresponding reward points to be credited.
User Notification &amp; Access:
Winners will receive an email containing a registration link (since the redemption platform is exclusive to winners). Upon registration/login, users will gain access to the rewards portal.
Exclusive Catalog Access:
Users will be able to view the entire catalog of gift cards and merchandise, which is specially curated and exclusive to TCS.
Note: This catalog will be fully visible to all winners, regardless of the stage they won in, the category of the award, or the number of points they’ve received.
Redemption Based on Points Balance:
Users can freely browse the catalog and redeem rewards based on their available points balance.
Client going live.</t>
  </si>
  <si>
    <t>6,00,000+</t>
  </si>
  <si>
    <t>TBD</t>
  </si>
  <si>
    <t>Multiple redemption in cart</t>
  </si>
  <si>
    <t>Abhisek Sharma Himank Gupta</t>
  </si>
  <si>
    <t>Top priority as we are making inroads for RnR for India basis this program</t>
  </si>
  <si>
    <t>Handed over to implementation</t>
  </si>
  <si>
    <t>Urgent: Clarification Needed for Snappy Client - Swag Vendor Process &amp; Global Logistics</t>
  </si>
  <si>
    <t>Global Company Branded Swag</t>
  </si>
  <si>
    <t>Hi Hemanga and team,
I need your urgent help with a potential client, following an RFP submission and presentation. We have a potential client who currently uses Snappy for gifts and swag but is looking to consolidate all their recognition programs onto one platform and has shortlisted Vantage Circle. This is a global company with employees in the US, Canada, UK, Japan, and over 50% of their population in India, which is a key consideration.
Here are the critical points:
Current Client Challenge: They manually use Snappy for anniversary and gift cards, but it's not a full-service, points-based platform that meets their needs. They want to switch to a single, consolidated platform.
Key Client Requirement: They need a solution that can handle custom, branded swag with reliable shipping, especially for their large employee base in India.
RFP question with our submitted responses:
"1. Describe opportunities to provide company branded swag items (either in specific catalogs or as a Swag store).  
Response: Vantage Recognition has the ability to offer a selection of customized gifts and exclusive Swag items. We work with the client’s chosen vendor to support branding requirements. The vendor manages the production and design aspects, while we facilitate the integration of these products into the rewards catalog for easy redemption. 
2. Can we create branded logos specifically for a 10th work anniversary or 20th anniversary and add them to a custom catalog (as a specific example use case)? 
Response: Yes, our merchandise partners can create custom inventory for specific occasions. We'll collaborate closely with your team to finalize designs and product selections before hosting these items in your redemption catalog. For service anniversaries, a popular approach involves symbolic awards with custom logos. Sample catalogs for these items are available upon request." 
Based on our responses, they have followed up with a critical question that I need to answer clearly:
"Am I reading it correctly that you do not have a relationship with a swag vendor (we would need to find/use our own and pay for them separately?). If we use our own vendor, how does this 'facilitation' process work and is there a Vantage Circle fee associated with this step?"
Information I Need from You
To answer this question and protect us in the deal, I need:
1.Process Details: How exactly do we "facilitate" the process when a client uses their own vendor? Can you provide a step-by-step breakdown of how this would work?
2. Our Current In-House Vendor(s): What is the pulse on the roll-out of our current partnership/integration with Snappy/Covver? Can you elaborate on what this process would look like for a company who requires branded merchandise in India (Accolades) and NA+?
3. Global Logistics: How would the rollout of branded merchandise and shipping work for each country, specifically for the employee population in India and across the US, Canada, UK, and Japan?
4. Associated Fees: Is there a specific fee associated with this facilitation process?
I need to respond to the client within the next 10 hours. Any guidance on these items would be a huge help, and I'm available for a quick 15-minute huddle before 12:00 PM IST.</t>
  </si>
  <si>
    <t>Xactly (Prospect)</t>
  </si>
  <si>
    <t>Your answers to the RFP questions are correct; however, please note that the details shared apply only to India.
The responses to the follow-up questions below provide further clarity on the specific processes involved:
Process Details: How exactly do we "facilitate" the process when a client uses their own vendor? Can you provide a step-by-step breakdown of how this would work? If a client has a preferred vendor, we support them through the following process (available only in India):
The client's vendor is onboarded on mutually agreed business terms.
The client's vendor shares the SKUs of their merchandise items requested by the client.
We add these items to our merchandise catalog on the platform.
Employees can place orders through this catalog as they normally would.
We then coordinate order fulfillment offline directly with the client’s vendor.
If the client does not have a vendor, we also have in-house vendor options available to support their needs. 
Our Current In-House Vendor(s): What is the pulse on the roll-out of our current partnership/integration with Snappy/Covver? Can you elaborate on what this process would look like for a company who requires branded merchandise in India (Accolades) and NA+? We are currently in the process of integrating with Snappy/Covver. This integration is still underway, with an estimated timeline of 3–4 more months for completion. The contract signing is still not completed. Once the integration is live, we will be able to offer branded merchandise through our merchandise catalog in all key regions — including the US, Canada, UK, India, and Japan — enabling consistent global support for branded swag. However, this catalog will not be available for the Milestone Catalog (i.e., it cannot be used for items such as plaques or trophies)
Global Logistics: How would the rollout of branded merchandise and shipping work for each country, specifically for the employee population in India and across the US, Canada, UK, and Japan? At present, our branded merchandise capabilities are limited to India through our existing vendors. We do not currently have vendor partnerships outside of India, which means we are unable to support branded swag merchandise orders in the US, Canada, UK, or Japan at this time. However, this gap will be addressed once the Snappy/Covver integration is completed.
Associated Fees: Is there a specific fee associated with this facilitation process? Currently, we do not charge any additional fees for this facilitation process when using the systems already in place.  The client's vendor has to be onboarded on our platform through a proper contract between the Vendor and Vantage Circle covering aspects of listing, update, delivery, pricing, and payment terms. 
Please note: While we are working on expanding global coverage for branded swag items through an upcoming integration with Snappy/Covver (expected in 3–4 months), this will not include items like plaques or trophies, which will continue to be supported only in India.</t>
  </si>
  <si>
    <t>750</t>
  </si>
  <si>
    <t>$2.25 USD</t>
  </si>
  <si>
    <t>50,000+USD</t>
  </si>
  <si>
    <t>Swag</t>
  </si>
  <si>
    <t>Victoria and Derrek</t>
  </si>
  <si>
    <t>Urgent priority</t>
  </si>
  <si>
    <t>kaushik.sarma@vantagecircle.com</t>
  </si>
  <si>
    <t>Kaushik Sarma</t>
  </si>
  <si>
    <t>Solution request 174171::Acknowledgement: Response Submitted for RFI:Integration of Infanion Employee Benefit Points with Vantage Redemption Platform</t>
  </si>
  <si>
    <t>RFI - Integration of Infanion Employee Benefit Points with Vantage Redemption Platform
I have created a response to their requirements. Please review the necessary aspects of the responses document attached.</t>
  </si>
  <si>
    <t>What are we looking for?
We want to increase the motivation, performance and engagement of our employees.
For that purpose, we have installed a process where an employee can earn  “benefit points” (1 benefit point = 1 rupee). Each employee has a “wallet” of Benefit Points. An employee can spend (redeem) his benefit points on a variety of “benefits”. Examples: extra day off, team outing,...  ONE of the options is to spend his benefit points to procure items on a platform like yours. The wallet (with transactions in + or -) of an employee is maintained and managed in a tool / software application in the Infanion environment.
SO,  we are looking for a tie up and integration with 1 platform like what you are offering.
What are our requirements and requests for information? 
We will make our choice of service provider based on below criteria and information:
1) Your assortment
Which categories are very well represented by concrete products in your catalogue?
Which categories are well represented, but through vouchers to be used on other platforms?
Number of references on your platform
More specific: are the following categories included in your catalogue (it’s not mandatory, but a matter of knowing)
Movie tickets
Staying in resorts
Gym / Yoga / Sports subscriptions
Are their options for us to exclude certain categories for our employees? (it’s not mandatory, but a matter of knowing)
2) Cost  of usage of the platform 
3) Price level of products and services that can be acquired on your platform
What would be the price level for our employees, compared to MRP?
How do you position yourself regarding pricing, compared to your competitors?
What would be OUR (current) price for the following 10 items, when purchased by an Infanion employee on your platform? 
Sl no
Product Category
Product
Specification
The price on your platform for Infanion employee
1
Electronics
Bluetooth speakers
boAt Sound Bar (aavante bar 610, 25W, charcoal Black
2
Food
Food | Nescafe Gold Blend-50g
Nescafe Gold Blend-50g
3
Furniture
Laptop Table
Portronics My buddy J Laptop Table (Grey)
4
Electronics
Induction Cooktop
Prestige Induction Cooktop (1200W, Bliss black)
5
Beauty
NailPaint
Lakme True Wear Color crush Nail Paint(103)
6
Fashion and Accessories
Hand Bag-Lavie-
Lavie Signature Women's- Tupelo 2C Satchel Handbag
7
Electronics
Smart watch
Noise ColorFit Icon 2 LCD Display HD Smart Watch (1.8", Jet Black)
8
Sports
Shuttlecock
PERFLY By Decathlon Indoor PSC-500, Plastic Shuttlecock (Yellow)
9
Apparel
Jeans-Men-Levis
Levis Men's 511 Slim Fit Mid Rise Jeans (Mid Indigo)
10
Footwear
Sports Shoes-women (Reebok)
Reebok Women's Walking Shoes - Spacefoam WUL Rylight - Lightweight Casual Walking Shoes for Daily Use- Size 7UK
4) Integration
Would the below scenario be possible to realize?
Please explain why or why not, and what you would  propose as an alternative solution.  
The scenario: 
I am Mohan,  one of the employees of Infanion. 
My Infanion Benefit Point wallet (maintained in the Infanion environment)  contains 6000 rupees.
I (Mohan) have (like all Infanion employees)  a company  login ACCOUNT on YOUR platform  Mohan@Infanion.com.  With this account, I can LOG IN.  (Infanion has provided to you a list of all active  employees and their email address).
After log in, I (Mohan) can  SHOP: add items to my shopping basket etc…
When I want to “check out” (= finish my procurement, and pay etc) :
YOU (your platform - via an API to our system) can CHECK whether my  total purchase amount did NOT exceed the value of my Infanion Benefit Point wallet (of 6000 rupees).
In case I did: I (Mohan) will get an ERROR message, and I will have to remove certain items from my basket before I’m allowed to finalize my purchase. 
Suppose my total procurement value is 4000 rupees (which is less than 6000): after I confirmed my purchase, the following will happen: 
YOU (your platform) will  - via API - ADJUST my (Mohan)  Benefit Point Wallet in our (</t>
  </si>
  <si>
    <t>Infanion</t>
  </si>
  <si>
    <t>The document has been reviewed, and the necessary comments have been added. Please go through it and let me know if you have any questions or concerns.</t>
  </si>
  <si>
    <t>https://vantagecircle.sharepoint.com/sites/Solutions/_layouts/15/Doc.aspx?sourcedoc=%7BE44E8FAC-9E6C-4EE6-A3E1-45CB13309041%7D&amp;file=Integration%20of%20Infanion%20Employee%20Benefit%20Poin_Kaushik%20Sarma.docx&amp;action=default&amp;mobileredirect=true</t>
  </si>
  <si>
    <t>Unknown</t>
  </si>
  <si>
    <t>Vantage Redemption</t>
  </si>
  <si>
    <t>Kaushik Saram</t>
  </si>
  <si>
    <t>acme18@vantagecircle.com</t>
  </si>
  <si>
    <t>Acme 18</t>
  </si>
  <si>
    <t>Request to activate same users in two different platforms | Harrow Green/Restore</t>
  </si>
  <si>
    <t>The RnR team of Restrore Datashred and their parent company Harrow Green is same. Since e are now implementing the platform Harrow Green, the same team has requested access in both platforms with common email domains.</t>
  </si>
  <si>
    <t>The implementation or the HR team members of both Harrow Green and Restore Datashred is same since Harrow Green is the parent company of Restore. A few members of the client team have requested access to both platforms.
Two of the users that are requesting the user access are
hush.akhtar@restore.co.uk
miriam.bradley@restore.co.uk
Could you please confirm if it is technically feasible to provide these users with access to both platforms? If so, kindly also validate whether there are any security concerns associated with this setup.</t>
  </si>
  <si>
    <t>Harrow Green Limited</t>
  </si>
  <si>
    <t>We discussed this internally, and our system does not support onboarding the same user across multiple instances.
A feasible solution would be for the client to create an additional account for such users within their HRMS. 
For example, if the parent company uses the domain @harrowgreen.co.uk, users requiring access to both platforms can be onboarded as separate individuals using unique email addresses, such as:
hush.akhtar@harrowgreen.co.uk
miriam.bradley@harrowgreen.co.uk
This approach ensures that each account is treated as a distinct user, enabling access to both instances without any conflicts.
Please note that once an account is created, users will have full access to all standard functionalities, including (but not limited to) appreciate, like, comment, redeem, and more.</t>
  </si>
  <si>
    <t>330</t>
  </si>
  <si>
    <t>UK</t>
  </si>
  <si>
    <t>1 GBP PEPM</t>
  </si>
  <si>
    <t>Granting user access to two platforms</t>
  </si>
  <si>
    <t>Midium</t>
  </si>
  <si>
    <t>RFP Follow up Questions - Extremely Urgent</t>
  </si>
  <si>
    <t xml:space="preserve">08.26.2025 
1) The response regarding the swag is still a bit vague for us.  Let's assume we do not have a current/preferred swag vendor in place (and let's assume we do not continue with Snappy for this example). 
What would be both the implementation cost and ongoing expense to use one of your other vendor partners to have a swag vendor connected to the marketplace, swag custom catalogs (like for a 10th service anniversary logo and catalog), and a swag store option for other recognition programs (maybe new hires)?    
If it depends, then please provide some examples of price ranges then and confirm what it depends upon. 
2) We discussed the "public recognition" opt out feature, but it sounded like more research needed to be done to confirm the options.   
Please provide a screen shot or an example of the options that employees have for opting out of different types of programs (birthdays, anniversaries, Greetings, other recognition/awards).  Do they have to opt out of everything, or can it be itemized? 
If they opt out, then please confirm they still receive a private notification for the "appreciations" and "nominations." 
3) Is a "Greeting" just an announcement in the feed, or is that a group virtual/digital card?  
Example: Can a team create a virtual baby shower card that is signed by a specified group of people (they might not be in the same department or team).  Can the creator of the card determine who gets the invite to sign? </t>
  </si>
  <si>
    <t>Xactly Corp</t>
  </si>
  <si>
    <r>
      <rPr>
        <sz val="11"/>
        <color rgb="FF000000"/>
        <rFont val="Calibri"/>
        <scheme val="minor"/>
      </rPr>
      <t xml:space="preserve">Process Details: How exactly do we "facilitate" the process when a client uses their own vendor? Can you provide a step-by-step breakdown of how this would work? If a client has a preferred vendor, we support them through the following process (available only in India):
The client's vendor is onboarded on mutually agreed business terms.
The client's vendor shares the SKUs of their merchandise items requested by the client.
We add these items to our merchandise catalog on the platform.
Employees can place orders through this catalog as they normally would.
We then coordinate order fulfillment offline directly with the client’s vendor.
If the client does not have a vendor, we also have in-house vendor options available to support their needs. 
Our Current In-House Vendor(s): What is the pulse on the roll-out of our current partnership/integration with Snappy/Covver? Can you elaborate on what this process would look like for a company who requires branded merchandise in India (Accolades) and NA+? We are currently in the process of integrating with Snappy/Covver. This integration is still underway, with an estimated timeline of 3–4 more months for completion. The contract signing is still not completed. Once the integration is live, we will be able to offer branded merchandise through our merchandise catalog in all key regions — including the US, Canada, UK, India, and Japan — enabling consistent global support for branded swag. However, this catalog will not be available for the Milestone Catalog (i.e., it cannot be used for items such as plaques or trophies)
Global Logistics: How would the rollout of branded merchandise and shipping work for each country, specifically for the employee population in India and across the US, Canada, UK, and Japan? At present, our branded merchandise capabilities are limited to India through our existing vendors. We do not currently have vendor partnerships outside of India, which means we are unable to support branded swag merchandise orders in the US, Canada, UK, or Japan at this time. However, this gap will be addressed once the Snappy/Covver integration is completed.
Associated Fees: Is there a specific fee associated with this facilitation process? Currently, we do not charge any additional fees for this facilitation process when using the systems already in place.  The client's vendor has to be onboarded on our platform through a proper contract between the Vendor and Vantage Circle covering aspects of listing, update, delivery, pricing, and payment terms. 
Please note: While we are working on expanding global coverage for branded swag items through an upcoming integration with Snappy/Covver (expected in 3–4 months), this will not include items like plaques or trophies, which will continue to be supported only in India.
</t>
    </r>
    <r>
      <rPr>
        <b/>
        <sz val="11"/>
        <color rgb="FF000000"/>
        <rFont val="Calibri"/>
        <scheme val="minor"/>
      </rPr>
      <t>Follow up queries:</t>
    </r>
    <r>
      <rPr>
        <sz val="11"/>
        <color rgb="FF000000"/>
        <rFont val="Calibri"/>
        <scheme val="minor"/>
      </rPr>
      <t xml:space="preserve"> The response regarding the swag is still a bit vague for us.  Let's assume we do not have a current/preferred swag vendor in place (and let's assume we do not continue with Snappy for this example).
What would be both the implementation cost and ongoing expense to use one of your other vendor partners to have a swag vendor connected to the marketplace, swag custom catalogs (like for a 10th service anniversary logo and catalog), and a swag store option for other recognition programs (maybe new hires)?   
Please note that our swag vendor partnerships are currently limited to India. If a client opts to use one of our existing vendors, there are no implementation or ongoing costs involved.
The milestone catalog service—including customized options like a 10th service anniversary logo and catalog—is also available exclusively in India at no additional cost.
Similarly, for new hire swag or any other recognition program, there will be no extra charges when using our existing partner vendors within India.
If it depends, then please provide some examples of price ranges then and confirm what it depends upon.
If a client chooses to onboard their own swag merchandise vendor, a 5% fee will be applied to each transaction as part of the business agreement, billed on a bi-weekly basis. Apart from this, there will be no implementation or ongoing costs.
We discussed the "public recognition" opt out feature, but it sounded like more research needed to be done to confirm the options.  
Please provide a screen shot or an example of the options that employees have for opting out of different types of programs (birthdays, anniversaries, Greetings, other recognition/awards).  Do they have to opt out of everything, or can it be itemized?
Employee have two preferences they can manage from their profile:
- Show my birthday on the social feed
- Require my consent and approval before any recognition(s) are published on the platform feed
By deselecting the birthday preference, employees can completely opt out of birthday posts.
When employees select the approval preference, the system will wait for their consent before publishing any recognition posts publicly. If the employee declines approval, the post will not be published.
If they opt out, then please confirm they still receive a private notification for the "appreciations" and "nominations."
Opting out simply means the system will wait for the recipient's approval before publishing the recognition post to the platform feed. Recipients will still receive email notifications for any appreciation or nomination, along with a platform notification prompting them to approve or decline the public post.
Is a "Greeting" just an announcement in the feed, or is that a group virtual/digital card? 
Example: Can a team create a virtual baby shower card that is signed by a specified group of people (they might not be in the same department or team).  Can the creator of the card determine who gets the invite to sign?   
A 'Greeting' is a one-to-one private card delivered via email, with no announcement or feed post generated. It does not support collaboration, e-signatures, or group greetings in any form.
</t>
    </r>
  </si>
  <si>
    <t>2.25</t>
  </si>
  <si>
    <t>unknown</t>
  </si>
  <si>
    <t>Merch, Greetings, Private/Public Visibility</t>
  </si>
  <si>
    <t>This is a very late stage active RFP and the responses are required by tomorrow morning, 08.27.2025 PST</t>
  </si>
  <si>
    <t>Follow up to request 117</t>
  </si>
  <si>
    <t>We have completed the necessary checks in coordination with the technical team and confirmed that it is feasible to remove exclusive , cashback and all other offers related to other EdTech brands.</t>
  </si>
  <si>
    <t>Taxation Related Changes for Inovalon</t>
  </si>
  <si>
    <t xml:space="preserve">The exact usecase from Inovalon ..
We need to understand and estimate the effort involved - from BA/PM, Dev and QA perspective. Basis this a quote will be passed to Inovalon.
-----
Hi Kunal,
We met internally and believe we may have identified a potential solution for being able to tax associates appropriately while staying within budget.
Would Vantage Circle be able to program the system to restrict associates to only be able to redeem gift cards and merchandise if their reward balance is $999 or under? 
We would then make a cash option available if their reward balance is $1,000 or over.
If an associate's reward balance reaches $2,500 then only a cash option would be made available (no gift card or merchandise would be available, and we will need to finalize what this maximum amount should be).
This way, we can easily gross up gift cards and merchandise through payroll while staying within budget. Any cash option would run through payroll and taxed during processing. 
Also, since we will make the cash option available, would it be possible when an associate terminates and has a reward points balance of $1,000 or more, to automatically send the remaining points to payroll to be processed as cash versus a gift card?  
Finally, if an associate is termed for cause, would we be able to remove any rewards point balance as they would not be eligible for any type of reward payment? This shouldn't happen very often but we need to know in advance if this is an option.
Once you have time to digest internally, let's meet to discuss further.
Thank you,
Cynthia
</t>
  </si>
  <si>
    <t>Inovalon</t>
  </si>
  <si>
    <t xml:space="preserve">Following a detailed discussion with Subhendu and also took suggestions from Anjan. The consensus is clear: rather than going ahead with the multi-wallet approach (Option #2), we recommend shifting to a direct allocation model as an approach to avoid significant operational overhead across multiple teams.
The secondary wallet model introduces several risks:
Scheduler dependencies for point movements
High chances of human/manual misses in case of bulk redemptions
Increased pressure on support, CX, and engineering for reconciliations and exception handling
Complications in scaling or automating this flow cleanly
Revised Approach: Direct Allocation Model
Instead of crediting 100% of the reward value, we allocate only 60% directly to the user’s Primary Wallet at the time of award.
The remaining 40% is not passed to Vantage and is to be treated by Inovalon internally as the tax component (withheld or grossed-up via payroll).
Users will see only the Primary Wallet and have immediate access to the full gift card catalog — no secondary wallet, no restrictions.
Vantage Circle will only bill Inovalon for the 60% value that is actually fulfilled on-platform.
This model offers a much cleaner and scalable structure:
Simplifies platform logic and operations
Ensures real-time reward visibility for users
Keeps tax control fully with Inovalon’s payroll team
Eliminates the need for redemption data pulls, post-processing, or wallet-to-wallet transfers
I've rewritten the entire documentation reflecting this approach, including benefits, examples, and impact.
Notes on Option 1 &amp; Option 2
Both Option 1 and Option 2 would require custom technical development on our end.
If Inovalon chooses to proceed with either of these two models:
A detailed Business Requirements Document (BRD) will need to be created
The estimated development effort is approximately 40 man-days for option 2 including testing.
While for option 1 it will be lower but we should still consider 5-10 man-days including testing. </t>
  </si>
  <si>
    <t>1900</t>
  </si>
  <si>
    <t>Taxation related changes</t>
  </si>
  <si>
    <t>Solution request::230226::Disclaimer Requirement for Nomination Flow</t>
  </si>
  <si>
    <t>Inovalon disclaimer</t>
  </si>
  <si>
    <t>Create a system alert reminding People Leaders that when nominating an associate for a monetary award, they should refrain from sharing the nomination with the recipient, as approval is not guaranteed.
For the notification, we’ve had recipients ask when they are getting their award because the nominator verbally informed the recipient that they were being nominated. We would like to include a message in the platform for the nominator stating that they should not share this nomination with the recipient as it may not be approved.  Is this possible?
Can this be included as a disclaimer text anywhere?</t>
  </si>
  <si>
    <t>Disclaimer/Notification</t>
  </si>
  <si>
    <t>shibani.dey@vantagecircle.com</t>
  </si>
  <si>
    <t>Shibani Dey</t>
  </si>
  <si>
    <t>Solution request:188185::Proposal to Make Mandatory Hashtag Option Site Admin–Driven</t>
  </si>
  <si>
    <t>Proposal to Make Mandatory Hashtag Option Site Admin–Driven</t>
  </si>
  <si>
    <t>Request you to check if the enablement of the mandatory hashtag option can be made site-admin driven, as this task is currently being handled by Tech Ops.
Similar to the attachment option, which was earlier dependent on backend configuration and has now been made site-admin driven. This change would allow better utilization of the feature as and when required by the client, with reduced turnaround time and faster resolution.</t>
  </si>
  <si>
    <t>ITC Hotels</t>
  </si>
  <si>
    <t xml:space="preserve">The Mandatory Hashtag option will be added under the Additional Services section, similar to the other configurable checkboxes. This will allow site admins to enable or disable the mandatory hashtag requirement directly from the admin panel without Tech Ops involvement.We will be taking this up in an upcoming sprint.
</t>
  </si>
  <si>
    <t>7700</t>
  </si>
  <si>
    <t>India-Delhi</t>
  </si>
  <si>
    <t>100000 pm</t>
  </si>
  <si>
    <t>1200000</t>
  </si>
  <si>
    <t>Mandatory Hashtag</t>
  </si>
  <si>
    <t>Debraj, Shibani</t>
  </si>
  <si>
    <t>EPIC EHR integration</t>
  </si>
  <si>
    <t>Integration with EPIC EHR</t>
  </si>
  <si>
    <t>EPIC EHR is a popular software used by 40% of American healthcare providers. Jefferson Health a large Recognition and VFit opportunity wants us to explore MS Teams like integration with EPIC because 80% of their workforce spends 100% of their time on this softare for varied services. The idea is to bring recognition within their flow of work which largely is centered around EPIC. Because of the wide spread use of this software an integration can also enable to us to have an advantage for capturing the larger heathcare sector in this market as non of our competitors have this integration.</t>
  </si>
  <si>
    <t>Jefferson Health</t>
  </si>
  <si>
    <t>Mail chain already going</t>
  </si>
  <si>
    <t>65000</t>
  </si>
  <si>
    <t>Should be USD 5,00,000+</t>
  </si>
  <si>
    <t>Will be millions</t>
  </si>
  <si>
    <t>EPIC integration</t>
  </si>
  <si>
    <t>none</t>
  </si>
  <si>
    <t>Urgency is to prepare an initial documents that highlights our understanding of how we can do this. Development will be later</t>
  </si>
  <si>
    <t>Garima, Nilimpa</t>
  </si>
  <si>
    <t>Aeria World - Vantage Perks</t>
  </si>
  <si>
    <t xml:space="preserve">I’d like to place a request for a call (most likely on 1st or 2nd Sept) with one of my prospects, aeria.world. They want to use our Vantage Perks platform for employees placed at different corporate offices by builders like Brigade, Prestige Tech Park, etc.) are the end users of their property/access management app. They want to use our Vantage Perks platform for employees placed at different corporate offices by builders like Brigade, Prestige Tech Park, etc.) are the end users of their property/access management app. </t>
  </si>
  <si>
    <t xml:space="preserve">They showed me a demo of their app today and are interested in onboarding us into their app. While they like the overall Vantage Perks offering, they’d like to explore how the integration or redirection would work. So I’m requesting a call with you and their team to understand their app better and discuss possible integration options. 
 </t>
  </si>
  <si>
    <t>Aeria World</t>
  </si>
  <si>
    <t>We are available for the exploratory call on Tuesday at 2.30 pm. 
Let's also connect once internally before the client call. Let us know when we can connect on Monday or Tuesday before the call.</t>
  </si>
  <si>
    <t>Vantage Perks Integration</t>
  </si>
  <si>
    <t xml:space="preserve">Medium </t>
  </si>
  <si>
    <t>Perks</t>
  </si>
  <si>
    <t>priyakshi.hazarika@vantagecircle.com</t>
  </si>
  <si>
    <t>Priyakshi Hazarika</t>
  </si>
  <si>
    <t>Solution request 126119 Amdocs Festive Pop-up</t>
  </si>
  <si>
    <t>Client ask - is there an animation/slide of Happy Holidays that we can display to employees when they log in to the site throughout the month of September?</t>
  </si>
  <si>
    <t>In September, Amdocs team will be celebrating the Jewish New Year in Israel. 
As every year, they grant employees a holiday gift through a gift.
 This year, they are allocating 200 points on the platform to all Amdocs Israel employees, to be granted on September 3rd, 2025.
So the client wants us to check if there is an animation/slide of Happy Holidays that they can display to employees when they log in to the site throughout the month of September?</t>
  </si>
  <si>
    <t>Understanding: The client would like to display an animation or slide showing "Happy Holidays" to users in Israel throughout the month of September, in celebration of the Jewish New Year.
Proposed Solution: We’ve confirmed with the Tech team that we can display an existing pop-up animation saying "Happy New Year" to users in Israel. This animation will appear only upon the user's first login after it is enabled.
Next Steps: Once confirmed, we will raise a ticket.</t>
  </si>
  <si>
    <t>26287</t>
  </si>
  <si>
    <t>URGENT - high priority as points will be released on 3rd sept.</t>
  </si>
  <si>
    <t>Solution Request::118111::Response to New Solution Request – Jindal Group</t>
  </si>
  <si>
    <t>Client has shared their workflow document with us and want us to check the feasibility on our capabilities on the same.</t>
  </si>
  <si>
    <t>Jindal Group have shared their extensive requirements that they are expecting from us as vendors. I have attached the sheet below. Additionally, from the meeting that we had below are pointers that came up-
1. LMS Integration with their existing tool where users get recognised or become eligible based on the courses completed
2. PMS Integration where users become eligible for awards based on their company defined KRAs/KPIs.
3. What API language we use to implement new languages on the platform. They want regional languages of India (e.g. Tamil, Telugu, Malayalam, Marathi, etc.)</t>
  </si>
  <si>
    <t>Jindal Group</t>
  </si>
  <si>
    <t>https://vantagecircle.sharepoint.com/:w:/s/Solutions/EeCgzQrqQqNPvwu2cH1etrQBeq4Q85dpKdBHfvzIse3R7A?CID=435feb9e-4388-b3c8-bf33-618350dfed53 . We have added our comments in the attached link.</t>
  </si>
  <si>
    <t>https://vantagecircle.sharepoint.com/sites/Solutions/_layouts/15/Doc.aspx?sourcedoc=%7B0ACDA0E0-42EA-4FA3-BF0B-B6707D5EB6B4%7D&amp;file=SOW%20R%26R_Abhisek%20Sharma.docx&amp;action=default&amp;mobileredirect=true</t>
  </si>
  <si>
    <t>20000</t>
  </si>
  <si>
    <t>50000000</t>
  </si>
  <si>
    <t>SOW and Feasibility check</t>
  </si>
  <si>
    <t>Solution Request 128121 American Oncology Association - Employee Search by ID</t>
  </si>
  <si>
    <t>One of my prospects wants to know whether users can find their peers using employee IDs (apart from name and email) at the time of appreciation or nomination. This ensures accuracy, especially in larger organizations where there may be duplicate or similar names, making the appreciation or nomination process smoother and error-free.</t>
  </si>
  <si>
    <t>One of my prospects, American Oncology Institute from India, wants to know whether users can find their peers using employee IDs (apart from name and email) at the time of appreciation or nomination. This ensures accuracy, especially in larger organizations where there may be duplicate or similar names, making the appreciation or nomination process smoother and error-free.</t>
  </si>
  <si>
    <t>American Oncology Institute (AOI)</t>
  </si>
  <si>
    <t>We consulted with the Tech team and confirmed that the platform does not currently support employee search by ID.
While the concern is valid, the issue is currently mitigated by using email IDs, which serve as unique identifiers - especially in cases where multiple individuals share the same name.</t>
  </si>
  <si>
    <t>2500</t>
  </si>
  <si>
    <t>Search by Employee ID</t>
  </si>
  <si>
    <t>Solution Request 129122 LTTS program email ID</t>
  </si>
  <si>
    <t>all email for LTTS should be triggered from info@ltts.com or any other email like roar@ltts.com instead of info@vantagecircle.com</t>
  </si>
  <si>
    <t xml:space="preserve">Our Understanding of the Requirement: LTTS would like to customize the sender email address used in the R&amp;R program, changing it from info@vantagecircle.com to something that better reflects their branding, such as info@ltts.com or roar@ltts.com.
Proposed Solution: While it is technically possible to send emails from @ltts.com, we do not recommend this approach. Routing through a client domain requires additional configuration on both sides, ongoing maintenance, and introduces authentication, security, and scalability challenges if multiple clients request the same.
Recommended Approach: As an alternative, we can customize the email prefix while retaining our verified domain. For example, the sender email can be set as:
roar@vantagecircle.com or
roar-ltts@vantagecircle.com 
This ensures strong branding alignment while maintaining the security, deliverability, and stability of our email infrastructure.
Next Steps: Once confirmed, we can initiate the change, and it will take a maximum of 2 working days.
</t>
  </si>
  <si>
    <t>24000</t>
  </si>
  <si>
    <t>ankit mehta, nashreen</t>
  </si>
  <si>
    <t>company requirement</t>
  </si>
  <si>
    <t>prachurjya.das@vantagecircle.com</t>
  </si>
  <si>
    <t>Prachurjya Das</t>
  </si>
  <si>
    <t xml:space="preserve">Solution request203199::Kotak - Budget/Quota configuration 
</t>
  </si>
  <si>
    <t xml:space="preserve">Kotak - Budget/Qouta configuration </t>
  </si>
  <si>
    <t xml:space="preserve">Kotak has an already existing Panel Award configured with 7 selectors and active budgets.
A new team (already on the platform) will be using monetary quota awards for the first time.
There are three award categories: 
•Individual monthly award, which is auto-approved for 1,000 points each, and a maximum of two awards can be given monthly. So, 2000 points per nominator should be allocated per month. This should lapse at the end of each month.
•1 quarterly individual award of 3000 points each, and a maximum of 3 awards can be given per quarter, so 9000 points per approver should be allocated per quarter.
•2 quarterly team awards of 10,000 points can be approved by each approver per quarter, so 20,000 points per approver should be allocated per quarter. Awards can be given to min 3 max 15 users, and the amount needs to be divided amongst the winners
Award Requirements
1.	Monthly Individual Award
	-Value: ₹1,000 (fixed)
	-Approval: Auto-approved
	-Eligible users: 57 (selected via email)
	-Frequency: Each user can give 2 awards per month
2.	Quarterly Individual Award
	-Value: ₹3,000 (fixed)
	-Approval: One-level approval
	-Flow: Nominator selects the approver
	-Limit: Each approver can approve 3 awards per quarter
	-Eligible users: 7 users (same from above)
3.	Quarterly Team Award
	-Value: ₹10,000 (fixed)
	-Approval &amp; users: Same as Quarterly Individual Award
	-Limit: Each approver can approve 2 awards per quarter
	-Eligible users: 7 users (same from above)
	-Award can be given to min 3 max 15 users, and the amount needs to be divided amongst the winners
Constraint / Issue
•	Enabling auto budget allocation with fresh allocation for these quota awards causes:
	-Existing Panel Award budgets to lapse, which is not acceptable.
•	Displaying quarterly budget balances to monthly award givers is not acceptable, as it creates confusion (users may assume they can give more than 2 monthly awards).
Key Requirements
•	Existing Panel Award budgets must remain untouched
•	Monthly award givers should not see any monetary budget
•	Users should be restricted strictly by:
	-Award category
	-Frequency (monthly/quarterly)
	-Count limits (not budget balance)
Ask / Support Needed
•	Configuration approach that allows:
	-Quota-based award limits by category &amp; frequency
	-No visible budget to monthly users
	-No impact on existing Panel Award budgets
Please advise on the best feasible configuration or workaround within the platform, for which monthly budgets get relapsed every month, and quarterly budget relapses every 3 months for concerned users. 
Thanks.
</t>
  </si>
  <si>
    <t>Kotak Mahindra bank</t>
  </si>
  <si>
    <t xml:space="preserve">Deallocate the budget not feasible.We will create a dummy wallet and the employee.Quota story needs to be picked where they can provide the </t>
  </si>
  <si>
    <t>Budget and Quota allocation</t>
  </si>
  <si>
    <t>Request for Change in Budget Visibility – Bosch Group.</t>
  </si>
  <si>
    <t xml:space="preserve">We have a request from the Bosch group of companies who are live with us.
Currently, in the feed, the “Available Budget” timeline feature for managers defaults to a quarterly view. 
However, Bosch would prefer a yearly view, as managers are allocated budgets for the entire year and have the flexibility to decide how they want to spend it. Since their budget utilization is not evenly distributed across quarters, dividing it uniformly into four quarters is not practical.
</t>
  </si>
  <si>
    <t xml:space="preserve">We have a request from the Bosch group of companies, who are live with us.
Currently, in the feed, the “Available Budget” timeline feature for managers defaults to a quarterly view. 
However, Bosch would prefer a yearly view, as managers are allocated budgets for the entire year and have the flexibility to decide how they want to spend it. Since their budget utilization is not evenly distributed across quarters, dividing it uniformly into four quarters is not practical.
</t>
  </si>
  <si>
    <t>Bosch RBIN</t>
  </si>
  <si>
    <t>I have confirmed this with Tech, and we can display the yearly budget instead of quarterly. 
Once the client confirms, please share the company ID so we can proceed with the change.</t>
  </si>
  <si>
    <t>3800</t>
  </si>
  <si>
    <t>12pepm</t>
  </si>
  <si>
    <t>1cr</t>
  </si>
  <si>
    <t>Budget Visibility</t>
  </si>
  <si>
    <t>this has been going on for a few onths now and the requirement seems to be pretty valid as the managers get confused.</t>
  </si>
  <si>
    <t>LPL would like to allocate points to users; however, they want to ensure that the points are redeemed specifically for one item</t>
  </si>
  <si>
    <t>LPL would like to allocate points to users; however, they want to ensure that the points are redeemed specifically for one item, which is the book:
“The AI Driven Leader: Harnessing AI to Make Faster, Smarter Decisions.”
Could you please advise if there is a way to restrict or guide the redemption so that users redeem their points only for this particular item?</t>
  </si>
  <si>
    <t>LPL</t>
  </si>
  <si>
    <t>9000+</t>
  </si>
  <si>
    <t>0.47 usd pupm</t>
  </si>
  <si>
    <t>$225,500 aprox</t>
  </si>
  <si>
    <t>Rnr and Milestone</t>
  </si>
  <si>
    <t>no</t>
  </si>
  <si>
    <t>kamalika</t>
  </si>
  <si>
    <t>high as they will need to allocate points depending on the feasibility by next week</t>
  </si>
  <si>
    <t>Solution Request198194::LTIM Rebranding Project</t>
  </si>
  <si>
    <t>LTIM rebranding request</t>
  </si>
  <si>
    <t xml:space="preserve">As discussed, the LTIM team is currently in the process of rebranding and, as part of this initiative, they plan to change the email IDs of all employees. This change is scheduled to take place on 11th Feb.
</t>
  </si>
  <si>
    <t>90000</t>
  </si>
  <si>
    <t>Nitika and Nashreen</t>
  </si>
  <si>
    <t>Solution Request 136129::RFP points for client Maruti Suzuki.</t>
  </si>
  <si>
    <t>We are filling out an RFQ for Maruti Suzuki India and they have a couple of questions regarding the platform functionality. We need your help with the best possible response to these 2 questions:
1. Do you offer the ability for HR Admins to create an R&amp;R solution tile embedded within a core HR platform like SAP SuccessFactors?
2. Do you provide a recognition copilot that assists employees in crafting appreciation messages and generates AI-enhanced images to complement recognitions?</t>
  </si>
  <si>
    <t>We are filling out an RFQ for Maruti Suzuki India and they have a couple of questions regarding the platform functionality. So, we need your help with the best possible response to these 2 questions:
1. Do you offer the ability for HR Admins to create an R&amp;R solution tile embedded within a core HR platform like SAP SuccessFactors?
2. Do you provide a recognition copilot that assists employees in crafting appreciation messages and generates AI-enhanced images to complement recognitions?</t>
  </si>
  <si>
    <t>Maruti Suzuki</t>
  </si>
  <si>
    <t xml:space="preserve"> We do have an AI-driven feature called Recognition Guide, which acts as an assistant while a user is writing an appreciation message. It suggests improvements based on defined recognition parameters and also helps paraphrase the message.
Additionally, we support the feasibility for users to generate AI-powered comments for recognition posts. Both these features would be rolled out by the end of October 25.
As for image generation, this is part of our roadmap — we plan to enable users to generate stickers that can be used within comments.</t>
  </si>
  <si>
    <t>18,00,000</t>
  </si>
  <si>
    <t>3,50,00,000</t>
  </si>
  <si>
    <t>Platform Functionality related questions</t>
  </si>
  <si>
    <t xml:space="preserve">Very High - This is quite urgent as the submission deadline for RFQ is Tuesday, 16th Sept. </t>
  </si>
  <si>
    <t>Sunday</t>
  </si>
  <si>
    <t xml:space="preserve">Low complexity </t>
  </si>
  <si>
    <t>Solution Request:107100:: Clarification Required for Maruti Suzuki R&amp;R AS-IS Framework Configuration</t>
  </si>
  <si>
    <t>Alignment of Maruti Suzuki's R&amp;R Framework (manual) with Vantage Circle's R&amp;R platform (digital).</t>
  </si>
  <si>
    <t xml:space="preserve">Maruti Suzuki is looking to automate and digitalize their R&amp;R experience for both white and blue collared employees - a total of ~16000 based in India. They wanted us to verify and confirm whether their current R&amp;R framework can be configured on the Vantage Circle's R&amp;R platform. </t>
  </si>
  <si>
    <t>Maruti Suzuki India</t>
  </si>
  <si>
    <t xml:space="preserve">Based on the award structure shared, there appears to be overall feasibility. The framework largely includes single-level approvals, which is well-supported by our platform. We foresee extensive use of award filters and validations, along with some custom configurations, to meet their specific needs.We can dive deeper into the finer details once we move forward in the process.
</t>
  </si>
  <si>
    <t>https://vantagecircle.sharepoint.com/sites/Solutions/_layouts/15/Doc.aspx?sourcedoc=%7B40E010D9-8A44-499B-8652-D725F441C7F4%7D&amp;file=RR%20FRAMEWORK%20SUMMARY%20(005)_Piyush%20Mahajan.pptx&amp;action=edit&amp;mobileredirect=true</t>
  </si>
  <si>
    <t>16000</t>
  </si>
  <si>
    <t>10 lakhs</t>
  </si>
  <si>
    <t>4 crore</t>
  </si>
  <si>
    <t>High - since they are in the process of shortlisting the top 3 vendors basis our inputs on their R&amp;R framework following which they would like to roll out the RFP.</t>
  </si>
  <si>
    <t>Solution Request 141136::Acknowledgment: Request to Restrict Points Revoke Access for HR Admins</t>
  </si>
  <si>
    <t>Points revoke option to be removed from HR admin holders</t>
  </si>
  <si>
    <t xml:space="preserve">Points revoke option to be removed from HR admin holders. As the client doesnt want to give authority to the other HR to revoke the points because of accounting purpose. </t>
  </si>
  <si>
    <t>site admin r pora dile by default he can revoke we cannot change. overall dashboard r t option ahibo manage role if some one is provided the permission he can get it</t>
  </si>
  <si>
    <t>10000</t>
  </si>
  <si>
    <t>10</t>
  </si>
  <si>
    <t>Access control</t>
  </si>
  <si>
    <t>Nashreen Nitika</t>
  </si>
  <si>
    <t>Important and urgent</t>
  </si>
  <si>
    <t>Taken in-progress</t>
  </si>
  <si>
    <t xml:space="preserve">High Complexity </t>
  </si>
  <si>
    <r>
      <t xml:space="preserve">Solution request </t>
    </r>
    <r>
      <rPr>
        <sz val="12"/>
        <color rgb="FF000000"/>
        <rFont val="Segoe UI"/>
        <charset val="1"/>
      </rPr>
      <t>9588</t>
    </r>
    <r>
      <rPr>
        <sz val="12"/>
        <color rgb="FF242424"/>
        <rFont val="Segoe UI"/>
        <charset val="1"/>
      </rPr>
      <t>::MBRDI_Compliance Requirement</t>
    </r>
  </si>
  <si>
    <t>MBRDI wants to add a note above the feed banner in the form of an image or note as per their compliance requirement.</t>
  </si>
  <si>
    <t>MBRDI comp id 1681</t>
  </si>
  <si>
    <t>@Shasanka from Product team is working on adding the text "Currently you are working in a confidential application "on the Hero banner as per MBRDI L93compliance requirements .OfficeForms.Table[@Description]</t>
  </si>
  <si>
    <t>https://vantagecircle.sharepoint.com/sites/Solutions/Shared%20Documents/Apps/Microsoft%20Forms/Solution%20Request%20Form/Question/image%20(13)_Nashreen%20Akhtar.png; https://vantagecircle.sharepoint.com/sites/Solutions/Shared%20Documents/Apps/Microsoft%20Forms/Solution%20Request%20Form/Question/image%20(14)_Nashreen%20Akhtar.png</t>
  </si>
  <si>
    <t>Nitika Anand/Nashreen Akhtar</t>
  </si>
  <si>
    <t>Since the requirement is related to compliance regulations hence it is high priority ask.</t>
  </si>
  <si>
    <t>Solution request 138131::Acknowledgment of Milestone Notification Request – Sinyar</t>
  </si>
  <si>
    <t>Sinyar Milestone feature</t>
  </si>
  <si>
    <t xml:space="preserve">Sinyar has two entities in same platform. They want to send milestone notification using two entity name. </t>
  </si>
  <si>
    <t xml:space="preserve">Your concerns are completely valid, which is why I didn’t recommend changing the company name initially. But, for the time being, it would be practical to ask the client to suggest a name that can represent both entities without causing confusion.
This change would not impact the contract or any formal documentation - it would be limited to the Site Admin/backend configuration only.
In parallel, we will continue exploring the feasibility of implementing the 'Entity setup'.
Using the program name isn’t advisable either, as the company name - not the program name - is what gets passed from the backend for this specific placeholder. 
Also, the milestone feed post reads something like: “Congratulations on completing X years with [Company Name].”
If we were to use the program name here (e.g., for an R&amp;R program that was launched only 6 months ago), it could be misleading - especially in cases where an employee is celebrating a much longer tenure, such as a 5-year work anniversary. The program name wouldn’t accurately reflect their time with the organization.
</t>
  </si>
  <si>
    <t>600</t>
  </si>
  <si>
    <t>Milestone notification</t>
  </si>
  <si>
    <t>Its urgent</t>
  </si>
  <si>
    <t>Use case with Entity</t>
  </si>
  <si>
    <t>Solution Request 127120::Assistance Required with Mercer RFP Questions</t>
  </si>
  <si>
    <t>Need answer of some RFP questions</t>
  </si>
  <si>
    <t>Sending the questions over mail as their are multiple questions</t>
  </si>
  <si>
    <t>Mercer</t>
  </si>
  <si>
    <t>* What data validation or quality assurance processes are in place?
Hi@Kongkona Das ,could you kidnly support Rithik on this?
* How intuitive is the reporting interface for non-technical users?
The reporting interface has been purpose-built for accessibility and ease of use, especially for non-technical users such as HR professionals, people managers, and business stakeholders. It prioritizes clarity, simplicity, and actionability, which supports widespread adoption across the enterprise.
* Beyond reporting, does the platform offer predictive analytics or AI-driven insights to proactively improve recognition strategies?
Currently, our system does not offer AI-driven insights. However, we provide dashboard-level insights and manager-specific analytics that enable detailed analysis of reward and recognition. AI-driven insights are part of the recognition team's roadmap and are planned for inclusion in future releases to further enhance data-driven decision-making.
* How does the reporting system integrate with other data sources (e.g., HRIS, payroll, finance systems) to ensure comprehensive and accurate insights?
VC system does not integrate with Payroll or Accounts systems but we can integrate with HRIS platforms via API integration to sync employee data from client database to VC database. The same will reflect in our reporting system e.g. Active Employee reports in the admin dashboard.
* Please describe any useful custom reports available to different audiences.
We offer a range of standard reports tailored to support various recognition and reward scenarios. Some of the key reports include:
Employee Points Report
Appreciation Report
Budget Allocation Report
Budget Transfer Report
Points Redemption Report, among others.
In addition to these, we also provide a reporting API that clients can leverage to build custom reports and dashboards using their preferred data visualization tools such as Power BI, Tableau, and others.</t>
  </si>
  <si>
    <t>22000</t>
  </si>
  <si>
    <t>High Priority (Ongoing RFP)</t>
  </si>
  <si>
    <t>Incorporating reason of decline in award Nomination reports_Addverb Technologies_1612</t>
  </si>
  <si>
    <t>We have received a request from one of our clients, Addverb Technologies, wherein they would like the reason for declining a nomination to be captured in the award nomination report.
However, we believe that even if the column is included, no information will be captured if the approver chooses to skip the step and leave it blank. Therefore, along with including the column, we propose making the reason for declining a nomination a mandatory step.
Kindly check the feasibility and help us provide a solution to the client's request.
VC-13515 -Jira ticket details shared for your reference</t>
  </si>
  <si>
    <t>Addverb Technologies_1612</t>
  </si>
  <si>
    <t>Additionally, the system offers a Nomination Report, which allows the admin to manually perform the necessary sorting and checks.</t>
  </si>
  <si>
    <t>1000+</t>
  </si>
  <si>
    <t>180000 + Tax</t>
  </si>
  <si>
    <t>1200000 Yearly</t>
  </si>
  <si>
    <t>Award Nomination Report</t>
  </si>
  <si>
    <t>Debraj Gogoi &amp; Shibani Dey</t>
  </si>
  <si>
    <t>We have received a request from one of our clients, Addverb Technologies, wherein they would like the reason for declining a nomination to be captured in the award nomination report.
However, we believe that even if the column is included, no information will be captured if the approver chooses to skip the step and leave it blank. Therefore, along with including the column, we propose making the reason for declining a nomination a mandatory step.
Kindly check the feasibility and help us provide a solution to the client's request.</t>
  </si>
  <si>
    <t>Solution Request::177174:Customized text to be populated during the winner selector window in panel awards request from client.</t>
  </si>
  <si>
    <t>Customized text to be populated during the winner selector window in panel awards.</t>
  </si>
  <si>
    <t xml:space="preserve">Can we populate a message during the winner selector window so that the winner selectors are aware that the selection is a one time process.This will help them realise and utilise the window's time period to confirm the winners and select all of them at once to end the process.
right now, it might be very confusing for them and they might end up selecting one or two winners in a day and submitting, which will result the process to end.
 </t>
  </si>
  <si>
    <t>Mitsubishi Chemicals America</t>
  </si>
  <si>
    <t>The requested changes to add the message in the winner selector before final submission have been completed and deployed to PROD.
The message added is:
“Winner announcement is a non-reversible submission, so please review and finalize your selection before submitting.”</t>
  </si>
  <si>
    <t>6000</t>
  </si>
  <si>
    <t>CA</t>
  </si>
  <si>
    <t>Not yet decided</t>
  </si>
  <si>
    <t>bill.fairlie@mcgc.com</t>
  </si>
  <si>
    <t>High Priority.
As there are 44 panel awards and 23 business divisions and therefore 23 unique winner selector across various divisions and cities.</t>
  </si>
  <si>
    <t>VC-14325</t>
  </si>
  <si>
    <t>Solution Request 142137 GMR Group Queries</t>
  </si>
  <si>
    <t>Our client has queries on redemption workflows and end user experience.</t>
  </si>
  <si>
    <t>The client has shared the below queries-
1. They want to have an option where our platform can provide the top recommended gift cards or merchandise when an end user goes to the redemption page for a personalised experience.
2. They want to explore the possibility of employees transferring their points internally with each other to encourage peer gifting scenarios for certain occasions where an end user wants to gift but does not have the nomination rights.
3. Possibility of integrating with their Payroll to manage the taxations for the Redemption by end users.</t>
  </si>
  <si>
    <t>GMR Group</t>
  </si>
  <si>
    <t xml:space="preserve">1. They want to have an option where our platform can provide the top recommended gift cards or merchandise when an end user goes to the redemption page for a personalised experience. We currently display promotional banners showcasing recommended gift cards to all users. While these banners are not personalized, they highlight top-performing gift cards based on overall performance. Additionally, the gift card listing is refreshed on a monthly basis to feature updated and promoted gift card options.
INTERNAL NOTE: These recommendations are based on Vantage Circle's profit margins.
2. They want to explore the possibility of employees transferring their points internally with each other to encourage peer gifting scenarios for certain occasions where an end user wants to gift but does not have the nomination rights. @Product Vantagecircle is working on Peer-to-peer point transfer functionality. @Armaan Siddique could you please share the estimated timelines or roadmap for this feature?
3. Possibility of integrating with their Payroll to manage the taxations for the Redemption by end users. We currently do not support direct integration with payroll systems. However, we offer standard reports that HR teams can use to extract redemption data. These reports can be processed internally to handle taxation requirements effectively.
</t>
  </si>
  <si>
    <t>5000+</t>
  </si>
  <si>
    <t>1000000</t>
  </si>
  <si>
    <t>1 Cr.</t>
  </si>
  <si>
    <t>Workflows</t>
  </si>
  <si>
    <t>Solution request 8175::"Thanks” hyperlink should be removed from Recognition and Greetings email for MPAC.</t>
  </si>
  <si>
    <t>The “Say Thanks” hyperlink should be removed from both the Recognition email and Greetings email for MPAC.</t>
  </si>
  <si>
    <t>MPAC users don't want the "Say Thanks" hyperlink / section in the email.</t>
  </si>
  <si>
    <t>We are currently assessing the feasibility of the change internally and consulting with the relevant technical team.
In the meantime, we need to understand the specific issue team is facing with the current (as-is) flow</t>
  </si>
  <si>
    <t>Remove "Say Thanks" hyperlink from the recognition emails/notifications.</t>
  </si>
  <si>
    <t>Kamalika Phukan, Kunal Maheshwari</t>
  </si>
  <si>
    <t>Please advise the feasibility and time.</t>
  </si>
  <si>
    <t>Garima Kayal</t>
  </si>
  <si>
    <t>Test</t>
  </si>
  <si>
    <t>Solution request 8377::Anonymous User Profile Picture Display</t>
  </si>
  <si>
    <t>Anonymous User Profile Picture Display</t>
  </si>
  <si>
    <t xml:space="preserve">
MPAC has flagged an issue regarding how anonymous users are displayed when recognitions are shared on the platform.
Currently, when a recognition includes multiple recipients and one of them has enabled privacy settings (e.g., "Require my consent before recognitions are shown"), their name appears as "Anonymous User"—which is expected. However, if that anonymous user has a profile picture, the system currently shows it in a blurred format.
MPAC would prefer a change to this behavior:
Instead of displaying a blurred profile image for anonymous users, the platform should display the default avatar (as if no profile picture was uploaded at all).
This change would:
Avoid confusion caused by the blurred image (which draws unnecessary attention),
Align better with user privacy expectations,
Provide a cleaner and more consistent user experience.
Let us know if this change is possible and if any additional information is needed.
</t>
  </si>
  <si>
    <t>There are three scenarios for profile picture display:
Profile Picture Uploaded (No Consent Restrictions):
The image is visible to all users.
Consent Enabled (User Opts for Anonymity):
The user appears as an "Anonymous User" with a randomly selected blurred placeholder image. These images are not linked to actual user photos and are used to maintain privacy, similar to practices on platforms like LinkedIn.
No Profile Picture Uploaded:
A default placeholder image is shown.
This approach ensures privacy while maintaining a clear user interface distinction.</t>
  </si>
  <si>
    <t>High as user privacy</t>
  </si>
  <si>
    <t>Solution request 114107::Feasibility Assessment for Greeting Card Search Bar Feature</t>
  </si>
  <si>
    <t xml:space="preserve">
MPAC would like a greeting search bar feature where users can enter keywords (e.g., “Eid”) and see all related greeting cards. We’d like to check the feasibility of implementing this.</t>
  </si>
  <si>
    <t xml:space="preserve">A meeting is scheduled with recognition and technical team to discuss on the feasibility </t>
  </si>
  <si>
    <t>2.08</t>
  </si>
  <si>
    <t>Milestone, appreciation, greetings</t>
  </si>
  <si>
    <t>We want to know the feasibility</t>
  </si>
  <si>
    <t>heather.tuffnail@vantagecircle.com</t>
  </si>
  <si>
    <t>Heather Tuffnail</t>
  </si>
  <si>
    <t>Solution Request::181178::Request to create a one time, limited duration Amazon based catalogue for a specific group of MPAC employees, separate from milestone logic</t>
  </si>
  <si>
    <t>Request to create a one time, limited duration Amazon based catalogue for a specific group of MPAC employees, separate from milestone logic.</t>
  </si>
  <si>
    <t>MPAC would like to open a one time gift catalogue for a defined list of 150 to 200 employees who are not part of their milestone program. Each employee will receive a gift within a consistent price range of approximately 75 to 100 dollars. The catalogue window needs to remain open for 20 to 30 days, targeted for January or February.
In UAT, only two catalogue options are currently visible. For this use case, we need the ability to create an additional standalone catalogue that can be named for MPAC, restricted to the specified price range, and sourced through Amazon. Eligibility must be based on a custom user list provided by the client.
Key actions required:
• Confirm capability to add an additional catalogue type
• Enable Amazon sourcing for this catalogue
• Confirm configuration steps to apply a narrow price range
• Ensure the catalogue can be activated and deactivated for a fixed 20 to 30 day period
• Provide any constraints or timelines Product needs us to communicate to MPAC
Once enabled, I will configure and test this catalogue in UAT and send it to the client for review before deployment to production.</t>
  </si>
  <si>
    <t>Awaiting response from Heather</t>
  </si>
  <si>
    <t>150-200</t>
  </si>
  <si>
    <t>2.08/ppu</t>
  </si>
  <si>
    <t>$75-100 CAD</t>
  </si>
  <si>
    <t>Catalog</t>
  </si>
  <si>
    <t>They already have an active Milestone Catalog and Retirement Catalog</t>
  </si>
  <si>
    <t>Client would like this ready by January/February 2026</t>
  </si>
  <si>
    <t>No response received from SPOC</t>
  </si>
  <si>
    <t>Solution Request 148143 Annoucements</t>
  </si>
  <si>
    <t>Request to Include Full Announcement in Triggered Emails</t>
  </si>
  <si>
    <t>Hyundai Capital Canada has requested that the entire announcement content be included directly within the email that gets triggered when an announcement is made.
This means that, instead of just a link or partial text, the complete announcement message should appear in the triggered email for recipients.
Kindly confirm if this can be accommodated, and if so, please let us know the next steps required to enable it.</t>
  </si>
  <si>
    <t>Our Understanding:
The client has requested that the entire announcement content be visible within the email itself, rather than just a link or a brief text.
Current Progress:
We have already incorporated the Title of the announcement in the email subject line.
Work is currently in progress to include the full announcement in the body of the email.
Contextual Feedback:
While the initial approach was to use the announcement as a means to pull users to the platform, it has been highlighted that there is a need for more context within the email itself to make the announcements more useful and actionable.
Next Steps:
For announcements containing images, PDFs, or videos, we will revisit and provide an update post the holiday break.
Reply 2: For announcements that include images, PDFs, or videos, work is currently underway to support these media types as email attachments. This enhancement is expected to be completed by the end of October.</t>
  </si>
  <si>
    <t>3.44</t>
  </si>
  <si>
    <t>NOT SURE</t>
  </si>
  <si>
    <t>This is a high-priority request, as there will be multiple holiday announcements in the upcoming months, and they want employees to receive the complete message in their inbox without having to click through.</t>
  </si>
  <si>
    <t>Already undertaken by Product Team</t>
  </si>
  <si>
    <t>Solution Request 149144 Godrej Capital</t>
  </si>
  <si>
    <t>Client has shared a document with their requested features/functionalities.</t>
  </si>
  <si>
    <t>Our client has shared a document with us requesting our assistance in understanding if we can cater to their workflow requirements in terms of our features and capabilities. Please note that this client is at a very advanced stage and our responses would go a long way in making our case if they would like to partner with us among other vendors. Document attached below</t>
  </si>
  <si>
    <t>Thank you for submitting the solution request form. 
You are requested to utilize the RFP tool to complete the preliminary responses and highlight the areas where you would specifically require our assistance.</t>
  </si>
  <si>
    <t>https://vantagecircle.sharepoint.com/sites/Solutions/_layouts/15/Doc.aspx?sourcedoc=%7B0AD59154-D68A-41F3-9E6C-81DBBE720A4C%7D&amp;file=Godrej%20Capital%20Questionnaire_Abhisek%20Sharma.xlsx&amp;action=default&amp;mobileredirect=true</t>
  </si>
  <si>
    <t>2200</t>
  </si>
  <si>
    <t>500000</t>
  </si>
  <si>
    <t>15000000</t>
  </si>
  <si>
    <t>Functionalities/Key Features</t>
  </si>
  <si>
    <t>Solution request124117::Exploring Secure Access Options for Tech Mahindra’s Vantage Perks Platform</t>
  </si>
  <si>
    <t>As discussed in the recent conversation with the Tech Mahindra team, they would like the Vantage Perks portal access to be restricted to their company domain, with an OTP-based login sent to each user’s active company email address.
They are not open to manually uploading employee information via CSV or proceeding with a full-fledged HRIS/SSO integration.
This request is to:
1. Understand the costing involved in white-labelling the portal and implementing OTP-based login access restricted to their company domain.
2. Assess any foreseeable challenges in implementing this solution across multiple geographies where Vantage Perks is currently available — including India, the US, the UK, and Australia.
3. Evaluate how to ensure that employees can access only the deals relevant to their respective locations within the OTP-based login framework.
4. Estimate the time required to fully set up and configure the Perks platform for Tech Mahindra.</t>
  </si>
  <si>
    <t>Tech Mahindra</t>
  </si>
  <si>
    <t>Duplicate entry. 124117</t>
  </si>
  <si>
    <t>1,50,000</t>
  </si>
  <si>
    <t>OTP and domain based login access for Vantage Perks</t>
  </si>
  <si>
    <t>High as they are in the process of making a decision very soon.</t>
  </si>
  <si>
    <t>simanta.adhikary@vantagecircle.com</t>
  </si>
  <si>
    <t>Request to customise "My Team" that appears for any recognition (monetary, non-monetary and greet) activity.</t>
  </si>
  <si>
    <t xml:space="preserve">Request to customise "My Team" that appears for any recognition (monetary, non-monetary and greet) activity. </t>
  </si>
  <si>
    <t xml:space="preserve">The client Opella has requested a customization for the "My Team" section that appears during any recognition activity—including monetary, non‑monetary, and greet recognitions. This requirement involves modifying how the "My Team" list is displayed or configured within the recognition workflow.
The objective is to ensure that the "My Team" view better aligns with the client’s organizational structure, wherein they have requested that an user should see all other users who report to the same RM instead of a department-based view, which is currently being used. </t>
  </si>
  <si>
    <t>Opella</t>
  </si>
  <si>
    <t>We’ve confirmed with the Tech team that the "My Team" feature can be adjusted to show Peers and/or Reportees, and this has already been done for a few other clients(1545, 1604).
You can raise a ticket for Arindam to implement this change.
Please note that proper RM (Reporting Manager) mappings must be in place in the employee details table for the Tech Ops team to implement the update.</t>
  </si>
  <si>
    <t>Not shared as of yet</t>
  </si>
  <si>
    <t xml:space="preserve">EUR 120,000 quarterly </t>
  </si>
  <si>
    <t>UI customisation</t>
  </si>
  <si>
    <t xml:space="preserve">Simanta </t>
  </si>
  <si>
    <t>For larger organizations, this enhancement addresses the challenge where multiple employees within the same department, but located in different countries, may not be familiar with one another. By mapping the “My Team” view to the Reporting Manager hierarchy, users will be able to see and interact with team members they directly work with and recognize their contributions more meaningfully.</t>
  </si>
  <si>
    <t>Solution Request 112105::Workflow feasibility assessment with the employee structure</t>
  </si>
  <si>
    <t>Workflow feasibility assessment with the employee structure</t>
  </si>
  <si>
    <t>MCSL’s employee data contains multiple hierarchical levels, such as business lines, departments, and more. To accurately identify nominees within the platform using this multi-level data, we need to conduct a detailed assessment to determine the mandatory data points that must be obtained from the MCSL team.</t>
  </si>
  <si>
    <t>Muthoot Capital Services Limited</t>
  </si>
  <si>
    <t>Quota concept can be assigned to the nominator at the award level. Once the quota is fully utilized, the nominator will be restricted from submitting further nominations within the specified timeframe, depending on the award type.
Example:
For the award “Star BDO of the Month,” which is a monthly award and can only be nominated by a single person across the organization in that month, a quota of 1 can be assigned to the nominator for this award. This means the nominator can only nominate one employee for this award in that month.</t>
  </si>
  <si>
    <t>https://vantagecircle.sharepoint.com/sites/Solutions/_layouts/15/Doc.aspx?sourcedoc=%7BCB1B49D3-D20A-4B7A-96A8-D0C69E3A8F46%7D&amp;file=MCSL%20-%20Vantage%20New%20Structure%20-%2018.Jul.2025%20V4_Vijayendra%20Borthakur.xlsx&amp;action=default&amp;mobileredirect=true</t>
  </si>
  <si>
    <t>3000</t>
  </si>
  <si>
    <t>7.33 PEPM</t>
  </si>
  <si>
    <t>Workflow feasibility assesment</t>
  </si>
  <si>
    <t>Moderate</t>
  </si>
  <si>
    <t>Solution Request 153148 Tata Comm Certificates via API</t>
  </si>
  <si>
    <t>req of custom API to extract certificates for Monetary awards</t>
  </si>
  <si>
    <t>Tata Communications</t>
  </si>
  <si>
    <t>We consulted with the tech team and confirmed that the certificates are generated dynamically and are not stored within the system. As a result, it's not possible to provide them through any API.
Regarding the dummy account, it's been confirmed that only a valid email address is required. However, user creation on Vantage Circle is not necessary, so this will not affect any workflows or visibility within the platform.
Therefore, the most effective approach would be to ask the client to create a dedicated email address specifically for use in the CC matrix.</t>
  </si>
  <si>
    <t>Certificate via API</t>
  </si>
  <si>
    <t>ankit Mehta</t>
  </si>
  <si>
    <t>Request Received on Friday, acknowledged on Monday</t>
  </si>
  <si>
    <t>Solution Request 154149 Enabling 'Assign Nominator' functionality for Badges</t>
  </si>
  <si>
    <t>enabling selected email for non monetary nominations instead of department/grade group</t>
  </si>
  <si>
    <t>specific email id should have access to send NM recognition, right now we don't have this filter option enabled</t>
  </si>
  <si>
    <t>Kotak &amp; Tata Technologies</t>
  </si>
  <si>
    <t>We’ve discussed this internally and with the tech team, and there are a few key considerations before proceeding with any customizations for the client.
Our core Rewards &amp; Recognition (R&amp;R) philosophy is centered around enabling non-monetary appreciation for all employees. While we understand that organizations may have department-specific skills or behavioral traits they wish to highlight, which is why we offer advanced filtering for badges, restricting access to badges for only a select group goes against the inclusive nature of our R&amp;R approach.
Additionally, the expected usage volume of such badges - both in terms of the number created and how frequently they’d be used - may be low, requesting you to share more details on this.
Lastly, since these are non-monetary recognitions, investing significant effort into customization may not be optimal from a business value perspective.</t>
  </si>
  <si>
    <t>Non monetary appreciation</t>
  </si>
  <si>
    <t>req form Kotak by senior leaders</t>
  </si>
  <si>
    <t>Solution Request 166163::Feasibility Discussion,Quota Return Logic for Declined Nominations (Muthoot Capital)</t>
  </si>
  <si>
    <t>When a nomination submitted by a nominator is declined, the deducted quota gets back to the wallet of the nominator. The client, MCSL has asked not to return it to the nominator. We need to find out if it is technically feasible.</t>
  </si>
  <si>
    <t>When Quota concept is applied to the nominator, the deducts the allocated quota form the nominators wallet when the nomination is submitted but the same number of quota gets back to the wallet if the nomination is declined. The MCSL team has prefidefined periods for each nomination and award. So, for example if four nominations are submitted where one gets approved and others are declined, the quota for three declined awards should should not get back to the nominator.</t>
  </si>
  <si>
    <t>When nominations are sent to the approver, the approver will approve only the eligible nominations and will not decline the non-eligible ones.
By doing so, the quota corresponding to the declined nominations will not be reallocated to the nominator.
This approach aligns with the client’s requirement that once a nominator submits a nomination for an award, the quota for that award should not be returned or reallocated to the nominator.
Optional Implementation
If the approver wishes to clear the list of pending nominations, they can do so at the end of the financial year. For instance, on 31st March each year, the approver may decline all pending nominations for that financial year.
On 1st April each year, the system will automatically deallocate any remaining quota from the nominators’ wallets whether it’s unused quota or quota that was reallocated after nomination declines.
This will ensure that the quota balance is reset to zero for all nominators at the start of the new financial year.
Since the client uploads quota manually via CSV, once the quota has been nullified, the client admin can proceed to allocate fresh quota for the new financial year.
It is recommended that the client provides a specific date on which our scheduler should run to deallocate quota at the end of the financial year — for example, midnight on 1st April.</t>
  </si>
  <si>
    <t>7.33/- PEPM</t>
  </si>
  <si>
    <t>100000 annual expected</t>
  </si>
  <si>
    <t xml:space="preserve">Disable the feature of automated Quota reallocation </t>
  </si>
  <si>
    <t>pritinita.moral@vantagecircle.com</t>
  </si>
  <si>
    <t>Solution Request 156151 Mitsubishi Chemical America</t>
  </si>
  <si>
    <t>1.Nominator Should get award too:
As per the panel award workflow requirement, the nominator should receive a portion of the award when their nominee wins.
The incentive for the nominator will be a percentage of the award received by the awardee, typically in the range of 10–15%.
2.Award Allocation Based on Cities/Cluster of cities:
Awards will be distributed based on cities or cluster of cities, where each cluster may comprise one or more cities.
Each cluster will have a specific award designated for nominations.
A dedicated panel committee responsible for voting the nominations from that cluster.
3.Manual Award Distribution via CSV (Without Feed Posting):
If the award process is to be handled outside the system feed (i.e., not posting results or announcements on the internal feed), but awards/points still need to be allocated:
The panel nomination process can be conducted within the system.
The final award results can be compiled externally and distributed manually.
Award points can then be uploaded and granted through a manual CSV upload, following the format and process supported by the system’s bulk award upload functionality.
Ensuring the CSV contains all required fields.
Awards for both the nominee and the nominator are included with appropriate point values based on the defined percentage split.</t>
  </si>
  <si>
    <t>Mitsubishi Chemical America</t>
  </si>
  <si>
    <t>Clarifications Required
Award Recipient Confirmation
The form refers to the nominator receiving a percentage of the award. However, during our call, it was mentioned this might be the panelist instead. Could you please confirm which role is intended to receive the incentive?
City/Cluster Data Availability
Are user city or cluster fields already being captured or passed into the system? It would be helpful to know the employee details being captured.
Could you confirm the communication preferences?
Why does the client not wish to announce winners on the platform? Should award results not be posted et all on the internal Feed?
Should winners and nominators receive congratulatory emails or notifications?
Following our discussion yesterday, we had an internal review today and propose the following solution for implementing Panel Awards:
Business Division will be mapped to the Department column in the employee details.
City will be mapped to the Entity column.
Separate Panel Awards will be created for each designated Division and City (or grouped region), each with its own set of Panelists and a unique Winner Selector as defined by the respective HRBP.
Panel Award names can include identifiers (e.g., Division + City or Region) to support easier tracking and maintenance via the dashboard.
Clusters of cities can be grouped under regional names (e.g., Central, North) based on client preferences.
The Award Description can include key details for quick reference.
Awards will be announced in line with the respective Panel Award timelines.
To facilitate awarding nominators of the winners, a separate CSV upload can be done via the dashboard.</t>
  </si>
  <si>
    <t>3600</t>
  </si>
  <si>
    <t>$3420 per month Approx</t>
  </si>
  <si>
    <t>Rewards &amp; rcognition</t>
  </si>
  <si>
    <t>Kunal, Pritinita, Arjo</t>
  </si>
  <si>
    <t>It's on medium priority on completion of the requirement but it's on high priority to get the possibile feasibiity check/solution of the requirement.</t>
  </si>
  <si>
    <t>Solution Request 157152 Country-specific access for HR Admin</t>
  </si>
  <si>
    <t xml:space="preserve">Request for country-specific access for HR Admin roles. </t>
  </si>
  <si>
    <t>We’ve received a request from the client Opella regarding enhanced access configurations. They would like the HR Admin access to be restricted based on country-specific data visibility. This means each HR Admin should be able to view and manage data only for their designated country.</t>
  </si>
  <si>
    <t>Currently, our platform supports department-level access controls, but there is no existing functionality to manage access at the country level via the Dashboard. We will explore the feasibility of implementing this with our Tech Team and get back to you.
We have reviewed this internally, and although the use case is valid, its implementation is quite complex and not feasible at this stage.</t>
  </si>
  <si>
    <t>&gt;100,000 EUR</t>
  </si>
  <si>
    <t>Admin Access Restrictions</t>
  </si>
  <si>
    <t xml:space="preserve">Considering the size and global presence of the client, they have requested that the HR-Admin access to be restricted to the specific country where the HR Admin is located meaning they will be able to access reports pertaining to their country only. </t>
  </si>
  <si>
    <t>Recommnended to Product</t>
  </si>
  <si>
    <t>Requirement: Option to schedule an announcement</t>
  </si>
  <si>
    <t xml:space="preserve">
It has been noted that the platform’s announcement feature currently lacks the option to schedule announcements for a future date. 
For example, if the HR POC has a planned vacation starting in two days and wishes to publish an announcement seven days later (during their time off), there is no way to set this up in advance at the moment. While it appears that scheduling a non-monetary appreciation is currently possible, I hope a similar functionality can be extended to the Announcement feature as well.
Enabling the scheduling option would help minimize the chances of human error, such as HR missing the announcement deadline, and would also be beneficial in situations where the HR POC is unavailable during that time. 
Kindly check the feasibility and confirm.</t>
  </si>
  <si>
    <t>Vitesco, Celebal, White River Media</t>
  </si>
  <si>
    <t>Thank you for submitting the Solutions Form.
We will discuss this internally and get back to you with the feasibility assessment.</t>
  </si>
  <si>
    <t>4000-5000 (Total)</t>
  </si>
  <si>
    <t>5.5 Lakhs Approx</t>
  </si>
  <si>
    <t>1000000 Approx</t>
  </si>
  <si>
    <t>Announcement</t>
  </si>
  <si>
    <t>Shibani</t>
  </si>
  <si>
    <t>Rated as High-Medium, since enabling the scheduling option would reduce the likelihood of human error and enhance time management efficiency.</t>
  </si>
  <si>
    <t>Recommended to Product</t>
  </si>
  <si>
    <t>parshi.phukan@vantagecircle.com</t>
  </si>
  <si>
    <t xml:space="preserve">Workflow Complexity and Platform Impact | Coromandel International </t>
  </si>
  <si>
    <t xml:space="preserve">Coromandel International have over 200 business units and location-specific workflows, where each location/unit/award follows a unique process. Based on our initial review, it appears that the overall workflow will be heavily dependent on user-specific employee data, which could potentially result in a poor user experience and challenges in day-to-day account management.
For your reference, the detailed workflows are attached.
For a single location they have different workflow for different awards.
</t>
  </si>
  <si>
    <t>Coromandel International</t>
  </si>
  <si>
    <t>Thank you for sharing the information. We request you to submit a Solution Form Request while we review the details provided.
Also, please suggest a suitable time to connect and discuss, preferably after 2 pm on Monday or Tuesday.</t>
  </si>
  <si>
    <t>https://vantagecircle.sharepoint.com/sites/Solutions/_layouts/15/Doc.aspx?sourcedoc=%7BC07A14A4-F364-4D86-9818-339A8B349786%7D&amp;file=Award%20Workflow%20references%20Coromandel%20Internat_Parshi%20Phukan.xlsx&amp;action=default&amp;mobileredirect=true; https://vantagecircle.sharepoint.com/sites/Solutions/_layouts/15/Doc.aspx?sourcedoc=%7B03B369D1-A134-43E0-AF3D-F8101992DC3C%7D&amp;file=Award%20Workflow%20references%20Coromandel%20Internat%202_Parshi%20Phukan.xlsx&amp;action=default&amp;mobileredirect=true; https://vantagecircle.sharepoint.com/sites/Solutions/_layouts/15/Doc.aspx?sourcedoc=%7BAD029E89-DA1E-46C7-B934-3FC3F9E0B2A4%7D&amp;file=Award%20Workflow%20references%20Coromandel%20Internat%203_Parshi%20Phukan.xlsx&amp;action=default&amp;mobileredirect=true; https://vantagecircle.sharepoint.com/sites/Solutions/_layouts/15/Doc.aspx?sourcedoc=%7BBA9CC7F4-4082-4AE1-8A8C-1E2EE881CCB8%7D&amp;file=Award%20Workflow%20references%20Coromandel%20Internat%204_Parshi%20Phukan.xlsx&amp;action=default&amp;mobileredirect=true; https://vantagecircle.sharepoint.com/sites/Solutions/_layouts/15/Doc.aspx?sourcedoc=%7B36CA273F-768E-4889-A8BF-BF09B728871C%7D&amp;file=Award%20Workflow%20references%20Coromandel%20Internat%205_Parshi%20Phukan.xlsx&amp;action=default&amp;mobileredirect=true; https://vantagecircle.sharepoint.com/sites/Solutions/_layouts/15/Doc.aspx?sourcedoc=%7BF57EEDD3-A886-412D-97F8-19B36CE5F390%7D&amp;file=Award%20Workflow%20references%20Coromandel%20Internat%206_Parshi%20Phukan.xlsx&amp;action=default&amp;mobileredirect=true; https://vantagecircle.sharepoint.com/sites/Solutions/_layouts/15/Doc.aspx?sourcedoc=%7B2DD58C90-93AE-474B-986B-6B30F4060D80%7D&amp;file=RR%20%20Monetary%20Awards%20Conslidated%20(2)_Parshi%20Phukan.xlsx&amp;action=default&amp;mobileredirect=true</t>
  </si>
  <si>
    <t>5200</t>
  </si>
  <si>
    <t>7,80,000 annual</t>
  </si>
  <si>
    <t>still in discussion</t>
  </si>
  <si>
    <t>Workflow Complexity and Platform Impact</t>
  </si>
  <si>
    <t>Coromandel’s key objective in choosing Vantage Circle is to digitize their entire R&amp;R policy, they have strongly preferred to retain their current framework.</t>
  </si>
  <si>
    <t>Request for Clarification – Tile Placement &amp; Announcement Targeting Options</t>
  </si>
  <si>
    <t>Hi Team,
Hope you’re all doing well!
I wanted to check in on two configuration questions that came up during my client meeting with Edelman Financial Engines (EFE) this morning. They’re exploring a few UI and communication adjustments in their platform, and I’d like to confirm what’s currently possible vs. what’s on the roadmap.
1. Tile Placement (Resource Library):
-Can we move or reorder tiles on the home feed (e.g., shift the Resource Library higher up on the page)?
-If not currently supported, is this flexibility part of any upcoming UI/UX enhancements?
2. Announcement Targeting:
Today, announcements can be sent company-wide or by department.
-Is there a way to target a smaller, custom audience (e.g., a defined list or specific employee group not mapped to a department)?
-f this isn’t yet configurable, do we have any ETA or roadmap details on more granular targeting?
Would appreciate your confirmation or any documentation I can reference back to the client during our next sync.</t>
  </si>
  <si>
    <t>Edelman Financial</t>
  </si>
  <si>
    <t xml:space="preserve">Thank you for your patience. We request that you please fill out the Solutions Form to help us avoid delays in the future.
Please find the answers inline below:
1. Tile Placement (Resource Library):
Can we move or reorder tiles on the home feed (e.g., shift the Resource Library higher up on the page)?
Answer: The tiles (Program Banner, Resource Library, Upcoming Birthday, Milestone, etc.) on the home feed appear as per predefined logic common to all users across the platform. We do not recommend frontend customizations; hence, the Resource Library cannot be moved higher.
However, we can address this requirement by hosting a link to the resources and updating the related messaging accordingly in the Program Banner image. (You can check it on the Edelman UAT instance)
Sample mockup: 
If not currently supported, is this flexibility part of any upcoming UI/UX enhancements?
Answer: While it is not currently a part of any planned enhancements @Nayan Bhuyan please evaluate if the control to re-arrange tiles/banners can be brought to the site admin.
2. Announcement Targeting:
Today, announcements can be sent company-wide or by department.
Answer: The announcements can currently be targeted using three filters: Country, Department, and City/Entity as per the client configurations.
Is there a way to target a smaller, custom audience (e.g., a defined list or specific employee group not mapped to a department)?
Answer: At present, there is no functionality for targeting announcements to custom audience lists.
If this isn’t yet configurable, do we have any ETA or roadmap details on more granular targeting?
Answer: We request that the client submit a Voice of Customer (VOC) through the Vantage Circle – Client Enhancement Request Form – Fill in form to help us evaluate this feature for potential inclusion in the future roadmap, based on usage frequency.
</t>
  </si>
  <si>
    <t>SOCIAL FEED</t>
  </si>
  <si>
    <t>VICTORIA, KUNAL, DEBASHISH</t>
  </si>
  <si>
    <t>MAJOR</t>
  </si>
  <si>
    <t>Need to disable the quota mail scheduler for MSAF, as the recent enhancement triggered email notifications to users about unused quotas. The client has requested to stop these communications for MSAF.</t>
  </si>
  <si>
    <t>The recent product enhancement triggered automated emails to all users holding unused quotas, encouraging them to utilize their balance. While this is a standard feature implemented across all clients to increase engagement on the platform, MSAF has requested to discontinue these email notifications.
To address this, we need to disable the quota mail scheduler specifically for MSAF so that no further automated emails are sent to their users regarding unused quotas.
Key Actions Required:
Identify and exclude MSAF from the global quota mail scheduler.
Ensure that no future quota reminder communications are triggered for MSAF.
Validate post-deployment that no emails are sent to MSAF users for unused quota notifications.</t>
  </si>
  <si>
    <t>MSAF</t>
  </si>
  <si>
    <t>100000</t>
  </si>
  <si>
    <t>Quota Balance Mail</t>
  </si>
  <si>
    <t>The client has specifically requested to stop the quota reminder emails for MSAF users. Since the emails are already being sent as part of an automated scheduler, immediate action is required to prevent further communications and avoid client dissatisfaction. Disabling the scheduler for MSAF at the earliest will help maintain client trust and ensure compliance with their communication preferences.</t>
  </si>
  <si>
    <t>Solution Request 162159</t>
  </si>
  <si>
    <t>One of our clients has seen the demo and also used the demo account and accordingly has some follow up questions.</t>
  </si>
  <si>
    <t>Client has shared a document with their observations and enquiry on some features and capabilities of the platform post internal review of the demo account.</t>
  </si>
  <si>
    <t>Kirloskar Oil</t>
  </si>
  <si>
    <t>I’ve reviewed the client queries, and while a few may require input from the Product/Solution team, most seem quite straightforward.
It might be helpful if you could first go through and address the ones within your scope, and then we can connect to clarify anything that needs deeper technical insight. I’m happy to organize a quick call if that would help.</t>
  </si>
  <si>
    <t>https://vantagecircle.sharepoint.com/sites/Solutions/_layouts/15/Doc.aspx?sourcedoc=%7BD6D6B878-4CE8-46B7-A9C8-EFC34D4A21AC%7D&amp;file=Observations%20and%20Questions_Abhisek%20Sharma.docx&amp;action=default&amp;mobileredirect=true</t>
  </si>
  <si>
    <t>75 Lacs</t>
  </si>
  <si>
    <t>Observations</t>
  </si>
  <si>
    <t>While approving the bulk upload points file through the Dashboard, the Approver should have the option to view the uploaded file before approving.</t>
  </si>
  <si>
    <t>700000</t>
  </si>
  <si>
    <t>4000000</t>
  </si>
  <si>
    <t>Approver's view of uploaded points data</t>
  </si>
  <si>
    <t>As per the client, this is required on priority for Go-Live.</t>
  </si>
  <si>
    <t>Feasibility Check: Customisation of Feed Post | Muthoot Capital</t>
  </si>
  <si>
    <t>Utilising the standard monetary awards with the associated workflow, Muthoot Capital team wants to remove the nominator's name on the feed post generated on the platform.</t>
  </si>
  <si>
    <t>Muthoot Capital team wants to remove the nominator's name from the feed post generated on the platform. Since their Head BIS will be the person who will be nominating the deserved employees for most of the monetary awards on behalf of the HODs, they do not want the name of the Head BIS to be appearing on the feed as the giver of the awards.</t>
  </si>
  <si>
    <r>
      <t xml:space="preserve">The request to hide the nominator’s name from feed posts for Muthoot Capital is </t>
    </r>
    <r>
      <rPr>
        <b/>
        <sz val="11"/>
        <color theme="1"/>
        <rFont val="Segoe UI"/>
        <charset val="1"/>
      </rPr>
      <t>not feasible within standard product capabilities</t>
    </r>
    <r>
      <rPr>
        <sz val="11"/>
        <color theme="1"/>
        <rFont val="Segoe UI"/>
        <charset val="1"/>
      </rPr>
      <t>, as nominator details are deeply integrated across feed posts, award history, and reporting views, and removing them would create data inconsistencies.</t>
    </r>
  </si>
  <si>
    <t>INR 22000 Per month</t>
  </si>
  <si>
    <t>Feed post customisation</t>
  </si>
  <si>
    <t>Solution Request 165162 Wipro Gift Card Disclaimer for Ireland</t>
  </si>
  <si>
    <t>Adding a disclaimer message in the gift card section for Wipro</t>
  </si>
  <si>
    <t>The client is requesting to add a disclaimer message in the gift card section exclusively for the Ireland employees of Wipro, same like implemented for Amdocs. 
Attaching the amdocs message for reference.</t>
  </si>
  <si>
    <t xml:space="preserve">Thank you for submitting the Solutions Form.
We recommend using your work email id for filling in the Solutions Form.
Problem Statement: We understand that Wipro plans to implement a disclaimer similar to the one used by Amdocs on its Gift Card redemption page. 
Resource: We have received the Amdocs disclaimer as an attachment - please confirm whether the message should remain exactly the same for Wipro or if any modifications are needed apart from the company name. 
Solution: Currently, the TechOps team can update the message, but it is prone to accidental edits, and we are exploring ways to make it more secure. We will update you once we find an alternative.
</t>
  </si>
  <si>
    <t>https://vantagecircle.sharepoint.com/sites/Solutions/Shared%20Documents/Apps/Microsoft%20Forms/Solution%20Request%20Form/Question/Screenshot%202025-11-04%20at%202.36.18%20PM_Acme%2018.png</t>
  </si>
  <si>
    <t>228334</t>
  </si>
  <si>
    <t>Multiple</t>
  </si>
  <si>
    <t>.</t>
  </si>
  <si>
    <t>148232220</t>
  </si>
  <si>
    <t>Gift card redemption</t>
  </si>
  <si>
    <t>Nitika &amp; Priyakshi</t>
  </si>
  <si>
    <t>The intent behind adding this message in the gift card section is to set clear expectations and provide transparency to users about the redemption process.</t>
  </si>
  <si>
    <t>Solution request:217213:Birthday notification in email</t>
  </si>
  <si>
    <t>Birthday notification in email</t>
  </si>
  <si>
    <t>Most of our clients track employee birthdays; however, the system currently does not have an automated birthday notification trigger. There is no feature that notifies the organization when an employee is celebrating their birthday and prompts others to wish them.
It would be helpful to have a configurable trigger where employees can choose the notification audience-whether it should go to their immediate team, their department, or the entire organization.</t>
  </si>
  <si>
    <t>NA Clients</t>
  </si>
  <si>
    <t>The platform currently cannot support dynamic, employee‑level audience selection for automated birthday announcements; only fixed audience groups can be configured. While birthday emails are sent directly to the employee, additional CC recipients can be added if their details exist in the master data. We have asked Kamalika to confirm whether this fixed audience configuration meets their requirement.</t>
  </si>
  <si>
    <t>US, CANADA</t>
  </si>
  <si>
    <t>NIL</t>
  </si>
  <si>
    <t>Request to Expedite UI Language Translation Fixes</t>
  </si>
  <si>
    <t xml:space="preserve">Langauge Translation Discrepancy in the platform </t>
  </si>
  <si>
    <t>We have noticed a few discrepancies within the platform when the language is changed from English to other languages (tested with Japanese and Italian). A section in the feed engagement score explanation window and the filter options where we can select the department filter does not translate to the desired language.</t>
  </si>
  <si>
    <t xml:space="preserve">Thank you for submitting the Solution Request.
@Abhishek Chakrabarty Requesting you to check the feasibility and initiate the work for the translation of:
Feed engagement score explainer window
Select Filter drop-down in the main feed
Please refer to the screenshots in the trailing mail.
</t>
  </si>
  <si>
    <t>https://vantagecircle.sharepoint.com/sites/Solutions/Shared%20Documents/Apps/Microsoft%20Forms/Solution%20Request%20Form/Question/Screenshot%202025-11-04%20at%2015.39.42_Simanta%20Adhikary.png; https://vantagecircle.sharepoint.com/sites/Solutions/Shared%20Documents/Apps/Microsoft%20Forms/Solution%20Request%20Form/Question/Screenshot%202025-11-04%20at%2015.39.33_Simanta%20Adhikary.png; https://vantagecircle.sharepoint.com/sites/Solutions/Shared%20Documents/Apps/Microsoft%20Forms/Solution%20Request%20Form/Question/Screenshot%202025-11-04%20at%2015.38.26_Simanta%20Adhikary.png; https://vantagecircle.sharepoint.com/sites/Solutions/Shared%20Documents/Apps/Microsoft%20Forms/Solution%20Request%20Form/Question/Screenshot%202025-11-04%20at%2015.38.09_Simanta%20Adhikary.png</t>
  </si>
  <si>
    <t>EUR 79,000</t>
  </si>
  <si>
    <t>EUR 120,000 quarterly</t>
  </si>
  <si>
    <t xml:space="preserve">UI enhancement </t>
  </si>
  <si>
    <t>This enhancement is designed to guarantee consistent language translation across all supported languages within the platform. It will ensure that every element on the user interface accurately reflects the selected language, providing a seamless and cohesive multilingual experience. Currently, the platform exhibits inconsistencies where certain elements within the same window are translated, while others remain in English. Implementing this enhancement will address these discrepancies, significantly improving the overall user experience by delivering uniform translation throughout the entire platform.</t>
  </si>
  <si>
    <t>Solution Request 143138::Feasibility Check for NFPC UAE R&amp;R Workflow Requirements</t>
  </si>
  <si>
    <t xml:space="preserve">1.NFPC would like to allow approvers the ability to modify or decide the final award value proposed by nominators during the approval process. They have six levels of approvals and they have requested the 3rd level approver to have the eligibility to modify the awards values selected by the nominator.
2. Multiple award amounts required to configure.
3. Six level of approval for workflow
</t>
  </si>
  <si>
    <t xml:space="preserve">1. NFPC wants that the award value can be modified by the approver after the nominators have provided during the approval process.
2. Multiple award amounts to be put in drop down like 25 of the award denominations to be configured.
3. While we recommended limiting the workflow to two or three approval levels for efficiency, the NFPC team has requested a six-level approval workflow.
Their justification:
"The same approval hierarchy is defined considering our diversified operations across various locations, and validation is required from the respective location finance teams on employee achievements."
</t>
  </si>
  <si>
    <t>National Food Product Corporation</t>
  </si>
  <si>
    <t>AED 26,424 (For each additional user exceeding 600, VC shall levy an additional charge of AED 5 per user per month)</t>
  </si>
  <si>
    <t>Information to be provided by NFPC</t>
  </si>
  <si>
    <t>Approver's ability to change award value</t>
  </si>
  <si>
    <t>The client, NFPC (UAE), has marked these requirements as high priority. They are critical to the successful implementation of their Rewards &amp; Recognition program. The key requirements include a multi-level approval workflow for monetary awards and the need for multiple dropdown options for selecting award denominations and approver's ability to modify the award amounts provided by Nominator.</t>
  </si>
  <si>
    <t>JIRA : VC -14023 - Mitsubishi Chemicals America</t>
  </si>
  <si>
    <t>Allow winner selector to be nominated for a panel award</t>
  </si>
  <si>
    <t>Jira : VC-14023</t>
  </si>
  <si>
    <t>We’d like to clarify a few important points regarding the award nomination, panel voting and winner selection process:
Conflict of Interest in Winner Selection: A person who is designated as a winner selector cannot be nominated for the same award. This is to avoid any potential bias and to maintain the integrity of the selection process.
Panelist Nominations: Similarly, if a nominator puts forward a panelist as a nominee, it creates a situation where the panelist could potentially vote for themselves. Since nominations are not shared among panelists to preserve impartiality, this would conflict with the core philosophy of panel-based awards.Request for Clarification: We need more details about the client’s intended workflow, including:
Type and structure of panels
Department-specific setup
Identities of panelists and winner selectors
Existing rules or patterns in the current award process</t>
  </si>
  <si>
    <t>3500</t>
  </si>
  <si>
    <t>Current client</t>
  </si>
  <si>
    <t>Na</t>
  </si>
  <si>
    <t>Winner selector to be nominated for award</t>
  </si>
  <si>
    <t>Nil</t>
  </si>
  <si>
    <t>Request for Profile Picture Transfer from Darwinbox to Vantage via API Integration</t>
  </si>
  <si>
    <t>We have received a request from Celebal Technologies to enable the transfer of profile pictures from Darwinbox to Vantage via API integration or to provide an option for bulk profile picture upload through the admin dashboard.
Request you to please check the feasibility and confirm.</t>
  </si>
  <si>
    <t>We have received similar requests earlier and had consulted with the Tech team regarding this. Unfortunately, profile picture transfer via API is not feasible due to technical reasons mentioned below:
Our system uses Cloudinary to store images, generating a unique link for each photo upon user upload. These links are then saved in our database. This process must be initiated by the user and cannot be performed on their behalf.
Image extraction through HRMS/HRIS integration is also not possible, as those systems may store profile pictures in formats that are incompatible with our Cloudinary-based storage requirements.</t>
  </si>
  <si>
    <t>2300+</t>
  </si>
  <si>
    <t>Jaipur</t>
  </si>
  <si>
    <t>450000</t>
  </si>
  <si>
    <t>300000</t>
  </si>
  <si>
    <t>Profile Badge Migration</t>
  </si>
  <si>
    <t>Debraj/Shibani</t>
  </si>
  <si>
    <t>To avoid duplicate uploads of profile pictures when the client is already uploading them through their HRMS integration (e.g., Darwin Box integration).</t>
  </si>
  <si>
    <t>It was first answered by Product and we topped it up with Tech reasoning.</t>
  </si>
  <si>
    <t>Solution Request 122114::Implementation of T&amp;Cs Acceptance for Natixis Global Services India</t>
  </si>
  <si>
    <t>The prospect currently follows a standard process for any new portal access, where employees must review and accept Terms &amp; Conditions (T&amp;Cs) before first-time login. They are currently managing this through Microsoft Forms. Ask: For the Vantage Circle R&amp;R platform, the prospect wants:
Redirection flow: Employees will access the VC portal from their Workday instance.
Pre-SSO Intervention: Before completing login via SSO, first-time users should be shown a custom Terms &amp; Conditions page.
Action required: Users must either Accept or Decline the T&amp;Cs.</t>
  </si>
  <si>
    <t>Ensure compliance with the client’s internal governance and onboarding standards for any new platform, by embedding a mandatory T&amp;Cs acceptance flow into the first-time login experience.</t>
  </si>
  <si>
    <t>Natixis Global Services India</t>
  </si>
  <si>
    <t>Proposed Solution: Stateless T&amp;Cs Display on Every Login
The T&amp;Cs page is shown on every login, regardless of previous acceptance.
User Flow:
Employee initiates SSO login via Workday.
Redirected to Vantage Circle.
A pop-up displays the T&amp;Cs.
The user must check “I Agree” and click “Agree &amp; Proceed” to access the platform.
If the user clicks “Decline &amp; Logout”, they are shown a decline page with two options:
“Go Back” to return to the T&amp;Cs screen.
Confirm Decline, which logs the user out.</t>
  </si>
  <si>
    <t>5,00,000 per annum</t>
  </si>
  <si>
    <t>User Login</t>
  </si>
  <si>
    <t>Not a high priority since their implementation timelines are in Dec-Jan but definitely a deal breaker</t>
  </si>
  <si>
    <t>Wireframe and secondary wallet required for Joining Kits</t>
  </si>
  <si>
    <t>1. Wireframe and Workflow Design
2. Secondary Wallet Functionality</t>
  </si>
  <si>
    <t xml:space="preserve">1. Wireframe and Workflow Design
Please create a detailed wireframe illustrating the end-to-end workflow of how the Joining Kits redemption process will function on the portal — from user access to order completion.
2. Secondary Wallet Functionality
We would also like to explore extending the Secondary Wallet feature to allow users to curate their own Joining Kits by selecting from a set of pre-curated individual items available within that wallet.
Kindly assess the feasibility of both requirements and share a presentation (PPT) by Friday outlining the proposed plan and workflow. This will enable us to present the concept effectively to both our existing clients and new prospects.
</t>
  </si>
  <si>
    <t>JPM Chase</t>
  </si>
  <si>
    <t>A presentation was created explaining multi-wallet for onboarding kits.</t>
  </si>
  <si>
    <t>INR 6,00,000</t>
  </si>
  <si>
    <t>INR 3 CR</t>
  </si>
  <si>
    <t>Enhancement of Secondary Wallet and Joining Kits</t>
  </si>
  <si>
    <t>Product to further evaluate addition of Zero milestone</t>
  </si>
  <si>
    <t>High complexity</t>
  </si>
  <si>
    <t>TCS NA - GCs Discussion</t>
  </si>
  <si>
    <t>Fulfilling Amazon GCs for TCS US employees</t>
  </si>
  <si>
    <t>TCS users can convert their Gems points on their portal for 3 options - amazon US GC, Vantage Card (to use on our platform) or Next Jump.
Amazon US GC has the highest % share - around 80%. For this TCS employees run a manual process by collecting the orders, processing them over 1-2 weeks and reverting to each user with their amazon GC details.
Idea is if we can get all these orders to VC meaning getting list of orders, procuring, processing and sending the GC details to their users.
All this happens without TCS users using the VC platform. For anyone converting their points to Vantage Card, it should be same as current.
We need an automated solution to procure, process, send the details to avoid any manual errors. Number of transactions per day could be anywhere between 50-500 so manual solution would be very taxing and error prone.</t>
  </si>
  <si>
    <t>TCS NA</t>
  </si>
  <si>
    <t>Hi @Kunal Maheshwari,
As we assess the feasibility of automation  for Amazon Gift Card fulfillment, I just wanted to confirm a few points for alignment:
Has the client expressed any concerns around removing Amazon Gift Cards from the Gems portal and moving to Vantage Circle as the sole redemption platform?
Based on the brief, my understanding is that users currently see only two options: Amazon Gift Cards and Vantage Circle. Could you please confirm if any other gift cards or redemption options are available in the Gems portal?
While this may have already been covered, I’d like to understand the client’s perspective as it will help us identify the most optimal approach moving forward.
This will be handled manually by PINKU for now.</t>
  </si>
  <si>
    <t>https://vantagecircle.sharepoint.com/sites/Solutions/_layouts/15/Doc.aspx?sourcedoc=%7B6F665EFE-F640-4D04-800F-1D7733DF0798%7D&amp;file=Sample_VantageCi12Nov2025_Kunal%20Maheshwari.xlsx&amp;action=default&amp;mobileredirect=true</t>
  </si>
  <si>
    <t>USD 3 million</t>
  </si>
  <si>
    <t>Amazon US GC fulfillment by TCS</t>
  </si>
  <si>
    <t>P1 - URGENT</t>
  </si>
  <si>
    <t>To be handled manually by PINKU</t>
  </si>
  <si>
    <t>National DCP - Contract cancellation</t>
  </si>
  <si>
    <t xml:space="preserve">NDPC Contract Cancellation
</t>
  </si>
  <si>
    <t xml:space="preserve">1.	Username/password reset issues
Majority (almost 80%) of their workforce is blue collared such as truck drivers. These users find it incredibly hard to remember their username/password. To add salt to the injury, NDCP HR had also sent them reset password link for UAT environment, which resulted in them not receiving password reset emails. Our UAT environment emails don’t to external recipients. 
2.	More than expected time needed at their end to administer the program
The constant need to reset passwords, see who has been able to successfully redeem or not, get catalog enabled again has resulted in more than excepted time for the HR folks to administer the program.
3.	Service yearbook has PII details about city/deptt
Service Yearbook (share your thoughts link) has PII listed such as department/city/state.
4.	Email reminders not inline with the reminder day/period
Email reminders haven’t gone out as per frequency. Meant to go out on 3 &amp; 7 days but haven’t been going out as per expectations. Someone times 1 of them is missed, sometimes both or something totally erroneous.
Guess, in a one-off instance, user had access to multiple year catalogs.
5.	Different invoices - 5yrs vs 25 yrs
Their catalog is configured via amazon milestone for 5/10/15/20.
For years -25/30/35/40 etc, its configured via E2E. 
This results in different reports for them and the invoicing frequency isn’t timely too.
</t>
  </si>
  <si>
    <t>NDCP</t>
  </si>
  <si>
    <t>National DCP’s concerns around login challenges, administrative effort, PII compliance, reminder emails, and dual catalog complexity have been reviewed.
A dual login option (Email + Password and Email-based OTP) can be enabled to address frequent password reset issues. Email IDs can also be updated on an ad hoc basis since Employee ID is the primary key, ensuring no impact on historical data.
PII fields (city, department, state) in the Service Yearbook can be removed and have been validated in UAT. Reminder emails are being triggered as configured; specific cases can be reviewed if shared.
To resolve catalog and invoicing fragmentation, a consolidated milestone model using Snappy is proposed. Confirmation from the Snappy team is currently awaited before proceeding further.</t>
  </si>
  <si>
    <t>stated in description</t>
  </si>
  <si>
    <t>HIGH</t>
  </si>
  <si>
    <t xml:space="preserve">Solution request::196192 Requirement related to Panel Award
</t>
  </si>
  <si>
    <t>Requirement related to Panel Award</t>
  </si>
  <si>
    <t>We have received a requirement related to Panel Awards from one of our clients, Omron (1775). Kindly review the feasibility and confirm.
Requirement:
The client would like the winners of the Panel Awards to be displayed on the platform in a manner similar to the existing Leaderboard section. Currently, this activity is being managed manually by the HR POC and shared with leadership and employees.
The request is to automate this process within the platform, which is expected to enhance employee engagement and overall platform activity.</t>
  </si>
  <si>
    <t>Omron</t>
  </si>
  <si>
    <t>The proposal is to use the Award Winner Digest Email feature to automate sharing of panel award results. This email sends a PDF listing department‑wise award winners for a selected time period (e.g., monthly), with the frequency set at the company level. Only users mapped under the HOD field in the Admin Dashboard receive it, and each recipient gets a personalized PDF showing award winners only for the departments they oversee. For this requirement, HR can be added as an HOD so they also receive the consolidated award details.</t>
  </si>
  <si>
    <t>276</t>
  </si>
  <si>
    <t>146000</t>
  </si>
  <si>
    <t>30 Lakhs</t>
  </si>
  <si>
    <t>Panel Award</t>
  </si>
  <si>
    <t>Debraj &amp; Shibani</t>
  </si>
  <si>
    <t xml:space="preserve">
The client would like the winners of the Panel Awards to be displayed on the platform in a manner similar to the existing Leaderboard section. Currently, this activity is being managed manually by the HR POC and shared with leadership and employees.
The request is to automate this process within the platform, which is expected to enhance employee engagement and overall platform activity.</t>
  </si>
  <si>
    <t>Acknowledgment: Sun Pharma Spotlight Award Distinction Request</t>
  </si>
  <si>
    <t>Sun Pharma will have two Spotlight awards—one auto-approved and one with an approval workflow. Since both share the same name, they want a clear visual distinction on the frontend (e.g., a small label or marker on the award image).
Could you please confirm if this is feasible?</t>
  </si>
  <si>
    <t>Sun Pharma would like to have two awards with the same name—Spotlight—one auto-approved and the other requiring an approval workflow. Since both awards will appear with the same name, they want to ensure users can clearly distinguish between the two from the frontend.
They are asking if we can visually differentiate them (for example, a small label or marker on the award image indicating “Auto-Approved” vs. “Requires Approval”) so nominators can easily identify which one to select.
Could you please confirm if this is feasible?</t>
  </si>
  <si>
    <t>Could you please help us understand the use case in detail behind this, in terms of the following, or any additional information you may have:
Dual Workflows:
Why does the same award have two workflows - one that is auto-approved and another that requires approval levels? Is there a difference in award amounts or other criteria that determines when each workflow should apply?
Nominators for Auto-Approved Version:
Who are the intended nominators for the auto-approved version of the award?
Award Visibility:
Are all nominators expected to see both versions of the award, or should visibility differ based on role or eligibility?
Use of Advanced Filters:
Have we explored using advanced filters to ensure that only eligible nominators can view and submit the auto-approved version?
Any technical customization would require substantial effort, including feasibility assessment, documentation, development, and QA.
Therefore, I am outlining a few non-technical alternatives. These may already have been considered by the team, but understanding the client’s perspective beforehand will help us determine whether technical exploration is necessary.
Nomenclature of the award:
We understand the client’s preference to retain the existing award name. However, given that the award values differ, it may be advisable to introduce a slight variation in the naming—such as Spotlight Silver and Spotlight Gold—to clearly signify the respective tiers.
Visual identifier:
If the client prefers to keep the award name unchanged, the badge design can still visually differentiate the tiers. For instance, a silver-toned badge for the lower-value award and a gold-toned badge for the higher-value award. This creates a logical and intuitive distinction, ensuring both peers and recipients can recognize the relative value of each award.
Award description:
If neither of the above options aligns with the client’s preferences, the brief award description visible in the nomination window can be used to help nominators distinguish between the award levels. However, in our experience, visual differentiation is the most effective approach in scenarios like this.
Screenshot for reference:</t>
  </si>
  <si>
    <t>0.40 ppm</t>
  </si>
  <si>
    <t>None</t>
  </si>
  <si>
    <t>High as they will change their workflow on december 1st week</t>
  </si>
  <si>
    <t>Solution request::197193 Feasibility Check: Consolidated Panel Award Report on Dashboard</t>
  </si>
  <si>
    <t>Feasibility Check: Consolidated Panel Award Report on Dashboard</t>
  </si>
  <si>
    <t>Omron has requested a single, consolidated report for panel awards to be available on the dashboard, enabling them to extract the required data whenever needed. Currently, reports are generated separately for each individual panel award, which requires manual effort to collate and present the data to senior management.
Kindly check the feasibility and confirm.</t>
  </si>
  <si>
    <t xml:space="preserve"> Panel Nomination report data visibility for multiple panel awards together is picked in the Sprint</t>
  </si>
  <si>
    <t>200+</t>
  </si>
  <si>
    <t>3000000</t>
  </si>
  <si>
    <t>Panel Award-Consolidated report</t>
  </si>
  <si>
    <t>Omron has requested a single, consolidated report for panel awards to be available on the dashboard, enabling them to extract the required data whenever needed. Currently, reports are generated separately for each individual panel award, which requires manual effort to collate and present the data to senior management.</t>
  </si>
  <si>
    <t>Request for Suggestions on the Client Opella's Requirement – Default Visibility and Consent Settings</t>
  </si>
  <si>
    <t xml:space="preserve">Default Visibility and Consent Settings
</t>
  </si>
  <si>
    <t>The key requirement is as follows:
Visibility: Can we configure postings so that the default setting is “Private”?
Consent and Approval: Can we make it the default that consent and approval are required before any recognition is published to the feed, instead of individuals having to activate this option within their profiles?</t>
  </si>
  <si>
    <t>With reference to the earlier email, we’ve conducted additional checks and identified a workaround that can be suggested to the client.
If an award is created with the visibility set to "Private", then each time a user goes to the feed to give that specific award, the default visibility will appear as "Private".
To validate this, I tested a use case in the UAT environment:
While creating the award, I set the visibility to Private. When accessing the feed to appreciate an employee using this award, the visibility was automatically set to Private by default.
However, please note that in this scenario, the other visibility options (Shared and Public) will not be available during the recognition process. The visibility remains fixed as Private for that specific award.</t>
  </si>
  <si>
    <t>Not mentioned in MSA</t>
  </si>
  <si>
    <t>Approximately EUR 200,000 per quarter</t>
  </si>
  <si>
    <t>Customisation</t>
  </si>
  <si>
    <t>High priority, as it is hig revenue generating client</t>
  </si>
  <si>
    <t>Solution request133126::Acknowledgement of Issue – Multi Wallet Redemption Report (phData Solutions</t>
  </si>
  <si>
    <t>Reports to be enabled for multi wallets</t>
  </si>
  <si>
    <t>Client phData Solutions uses our multi wallet feature wherein the client credits certain points to the secondary wallet as onboarding points so that the new joinees can redeem the onboarding kit from the platform. Although the platform gives an option to download the redemption report for the secondary wallet, it reflects the data for gift card redemption which should appear under the primary wallet.</t>
  </si>
  <si>
    <t>phData Solutions</t>
  </si>
  <si>
    <t>We plan to address this issue in our upcoming sprints and will keep Debraj informed with the relevant Jira ticket and progress updates as the work moves forward.</t>
  </si>
  <si>
    <t>https://vantagecircle.sharepoint.com/sites/Solutions/Shared%20Documents/Apps/Microsoft%20Forms/Solution%20Request%20Form/Question/Screenshot%202025-09-11%20at%204.25.48%20PM_Debraj%20Gogoi.png</t>
  </si>
  <si>
    <t>Multi wallet redemption report</t>
  </si>
  <si>
    <t>High as the client has not been able to see this data since inception</t>
  </si>
  <si>
    <t>Nilimpa/Pankaj</t>
  </si>
  <si>
    <t>Solution Request 180177 Wipro-Harman</t>
  </si>
  <si>
    <t xml:space="preserve">Client acquired another organization with 5k to 6k employees and they want a separate ecosystem to be created for those employees. Want to replicate all policy of winner circle. </t>
  </si>
  <si>
    <t xml:space="preserve">From our conversation earlier and your reply, I understand that:
Harman employee data will be shared with us through CSV files until it is incorporated into the HRIS in June 2026.
Until that time, they will continue to use their Harman employee IDs and Harman email IDs.
Based on these, the optimal solution as discussed with Tech is outlined below:
1. Onboarding Feasibility
Harman employees can be added to the existing Wipro platform only if:
Harman employee IDs and Wipro employee IDs are unique and do not overlap,
There must be no possibility of future overlap with Wipro employee IDs.
Eg: If Indu's employee id is 23456, there cannot be an employee named Mahesh at Harman who has employee id 23456. They can, although prefix or post, fix something to the id to maintain uniqueness. So the employee details shared with us for CSV upload should can have for Mahesh the employee id to be HM23456.
Employee registration emails have to be customized and stopped for Wipro employees. 
2. Login &amp; Authentication
Harman employees: Password-based login
Wipro employees: Continue using SSO
Both authentication methods can coexist on the same platform, which means another customization on the login page need to be done for accommodating this.
3. If Employee IDs Remain Unchanged After June 2026
Only the email IDs need to be updated from Harman → Wipro.
Award history and all user activity will remain intact.
No account merge is required.
4. If Employee IDs Also Change After June 2026
In this scenario, users would lose their award history and would have to start with new accounts because changing the employee ID creates a completely new account in the system.
To retain history, we would need to manually merge the old account with the new one.
Manual merges can be done for a small number of employees, but not for 5,000–6,000 users, as the process is slow and prone to errors.
Because of this, preserving award history at scale will not be possible if employee IDs change
</t>
  </si>
  <si>
    <t>2.5 lac</t>
  </si>
  <si>
    <t>Link1</t>
  </si>
  <si>
    <t>New Requirement - phData Solutions, India</t>
  </si>
  <si>
    <t>My client, phData Solutions, is currently using our Milestone Catalogue and Onboarding Kit modules. However, they have reported some issues related to stock availability information and delivery timelines. During my recent in-person meeting, the client emphasized the need for improvements, and after internal discussions, I would like to understand the feasibility of the following enhancements:
Introducing a stock visibility feature similar to common e-commerce platforms — for example, indicators such as “1 left,” “2 left,” etc.
Purpose: To give users clarity on limited stock availability and encourage timely ordering.
Implementing real-time delivery tracking — including order placement date, dispatch date, and expected delivery date.
Purpose: To provide the HR team with better visibility, as they currently have no information when employees contact them for delivery updates after placing an order.
Please check the feasibility of the above mentioned items and if they cannot be implemented, what could be offered as the best alternative.</t>
  </si>
  <si>
    <t>Responses:
Stock Visibility: Not feasible currently because stock updates are managed manually by vendors, and real-time sync is unavailable. The platform already shows “Out of Stock” when items are unavailable.
Delivery Tracking: This feature is in progress. Users will soon be able to track shipments via a hyperlink redirecting to the delivery partner’s tracking page.</t>
  </si>
  <si>
    <t>50000</t>
  </si>
  <si>
    <t>Real Time Delivery and Milestone Catalogue Stock Tracking system</t>
  </si>
  <si>
    <t>No impact, this will be an entirely new enhancement if implemented</t>
  </si>
  <si>
    <t>Critical</t>
  </si>
  <si>
    <t>Medium complexity</t>
  </si>
  <si>
    <t>Enhancement Request: Award-Specific Approvers in Dashboard</t>
  </si>
  <si>
    <t>Assign Award Specific Approver from Dashboard for Standard Awards</t>
  </si>
  <si>
    <t xml:space="preserve">Could we explore the possibility of adding Award-Specific Approvers in the Dashboard, similar to the existing “Assign Nominator” feature, with support for at least up to a second-level approval?
The reason for this request is that many clients who use HRIS for data integration are reluctant to input approver details in the additional info fields when there is no consistency in those details (e.g., no defined designation, role, or structure).
Could you kindly help us review this enhancement request? We have received similar feedback from multiple clients, and hardcoding approver details is not a sustainable solution.
</t>
  </si>
  <si>
    <t>Birla Novel</t>
  </si>
  <si>
    <t>After validating the requirement for assigning an approver at the award level, please find below our observations.
Feasibility
Assigning a constant approver to an award from the admin dashboard is feasible for 1st and 2nd level approvals.
It is not feasible for 3rd and 4th level approvals, as these levels are configured from the backend at the code level.
However, enabling this capability comes with certain implications that may create friction in real-life scenarios. These are outlined below.
Implications
A single user can be mapped as an approver for either 1st or 2nd level, and all nominations will flow to that user at the respective level, irrespective of hierarchy or relevance mapping, which clients typically expect.
For example, clients often require 1st level approval to go to the nominator’s RM and 2nd level approval to the Department Head.
Such relevance-based routing will not be possible if only a constant user is mapped as the 1st or 2nd level approver.
If user A is mapped as the 1st level approver, all nominations will go to user A regardless of the nominator/department/nominee relationship.
If budget deduction occurs at the approver level, the user assigned as the 1st or 2nd level approver must have budget allocated for all relevant countries. Otherwise, nominations may remain pending due to non-availability of budget.
Before assigning a user as the 1st or 2nd level approver, the user must be granted Approver rights. Without these rights, nominations will flow to the user, but they will not appear in their To-Do section for action.
There may be scenarios where an assigned approver ends up approving their own nomination(s).
For instance, if an award has 2 levels of approval and user A is mapped as the 2nd level approver, user C might nominate user A. In that case, the 2nd level approval will route to user A.
Clients may raise concerns upon discovering such cases, potentially leading to additional discussion, validation, and client expectation management.
Considering all the above implications, please share your thoughts on whether this capability should be added to the dashboard, as the use of constant approvers may introduce challenges from an ongoing client management perspective.</t>
  </si>
  <si>
    <t>Not received</t>
  </si>
  <si>
    <t>Assign Approver feature from Dashboard</t>
  </si>
  <si>
    <t>Inmobi, Tata Motors, HDFC Ergo, Addverb</t>
  </si>
  <si>
    <t>Himadri</t>
  </si>
  <si>
    <t>High. This client is in the MSA sign-off phase.</t>
  </si>
  <si>
    <t>Solution request::183180::Clarification Required on Client Request for User Acceptance Agreement</t>
  </si>
  <si>
    <t>User Acceptance Agreement for Budget Holders</t>
  </si>
  <si>
    <t>The client has requested that since this is the 1st time that designated stakeholders will be provided a budget for recognition, can we create some sort of user acceptance agreement which will go only to budget holders. The user acceptance will be on the lines of - "I understand that the budget must be handled fairly and responsibly etc." - and these users need to click "Accept and Continue" to move forward. Will it be possible to add such a user acceptance agreement:
For the 1st time that a budget holder logs into the platform
For every time that the budget holder receives a fresh budget (ie, every quarter)</t>
  </si>
  <si>
    <t xml:space="preserve">Servier </t>
  </si>
  <si>
    <r>
      <rPr>
        <b/>
        <u/>
        <sz val="11"/>
        <color rgb="FF000000"/>
        <rFont val="Calibri"/>
        <scheme val="minor"/>
      </rPr>
      <t>Clarification nedded before proceeding</t>
    </r>
    <r>
      <rPr>
        <sz val="11"/>
        <color rgb="FF000000"/>
        <rFont val="Calibri"/>
        <scheme val="minor"/>
      </rPr>
      <t xml:space="preserve"> Should the message be Informational only, or
A pop-up requiring user action?
If a pop-up:
Should it include only “Accept and Continue”, or also “Cancel” / “Reject”?
If user does not accept:
Should they be logged out or blocked from access?
Budget holder identification:
Confirm who will be the budget holder (nominator or approver).
Budget allocation process:
Confirm how allocation works for Servier.</t>
    </r>
  </si>
  <si>
    <t>INR 427400</t>
  </si>
  <si>
    <t>0.5 CR</t>
  </si>
  <si>
    <t>User Acceptance Agreement</t>
  </si>
  <si>
    <t xml:space="preserve">This is a client requirement based on their internal policies </t>
  </si>
  <si>
    <t>Solution request184181::Justification box while revoking points</t>
  </si>
  <si>
    <t>A justification box while revoking points</t>
  </si>
  <si>
    <t>SRF Limited currently uses the points upload, Perks, and redemption modules, with employee registrations and point credits being processed via API. The client has requested a feature that allows a justification to be added when points are revoked. Specifically, they have asked for a text box on the Points Revocation page to capture the reason for revocation, which is required for their internal reconciliation and audit purposes.</t>
  </si>
  <si>
    <t>SRF Limited</t>
  </si>
  <si>
    <t>Awaiting reponse from the team</t>
  </si>
  <si>
    <t>9414</t>
  </si>
  <si>
    <t>4,92,500</t>
  </si>
  <si>
    <t>8544711</t>
  </si>
  <si>
    <t>Points Revocation Justification Box</t>
  </si>
  <si>
    <t xml:space="preserve">Debraj </t>
  </si>
  <si>
    <t>Points transfer module-backend calculation</t>
  </si>
  <si>
    <t>We need to enable the Points Transfer module for Infosys. However, the client would like to understand the in-depth details of how the calculation/conversion is handled by the system.
I have informed the client that the system calculates the value based on the current exchange rate. As per my discussion with Subhendu, we update our exchange rates on a daily basis.
The client has raised concerns with this approach, as fluctuations in the exchange rate may impact their budget. They have therefore requested us to check whether it is possible to incorporate static exchange values or explore any alternative approach, as they are not willing to proceed with the current process.</t>
  </si>
  <si>
    <t>Infosys</t>
  </si>
  <si>
    <t xml:space="preserve">Exchange Rate Handling
The system uses real-time exchange rates, updated daily, to convert points between currencies during transfers.
Static exchange rates are not supported, as this could lead to inconsistencies and compliance issues.
Impact on Billing
Please note that exchange rate fluctuations do not affect client billing.
Billing is always based on the original currency of allocation, regardless of where the points are transferred.
When points are transferred, the system treats them as:
Redeemed in the source country → billed to Infosys at the original currency value.
Credited in the destination country → marked as non-billable points for future redemption.
Example Scenario
Suppose 1,000 points allocated in India (worth ₹1,000) are transferred to a user in the USA.
At the time of transfer:
The system considers the 1,000 points redeemed in India and bills Infosys ₹1,000.
The user in the USA now sees equivalent points in their account.
When they redeem these points in the USA, Infosys is not billed again, as these points are flagged as non-billable.
Key Assurance
Real-time exchange rates are necessary for accurate conversion.
Client budget remains unaffected because billing is tied to the original allocation currency.
Points transfer is purely a user experience feature, not an additional financial liability.
</t>
  </si>
  <si>
    <t>172698</t>
  </si>
  <si>
    <t>Points transfer module</t>
  </si>
  <si>
    <t>nothing as such</t>
  </si>
  <si>
    <t>End users reach out to the support team to request the transfer of points from one country to another. Currently, we handle these requests manually, which is time-consuming and increases the workload on both sides. The process involves two steps:
Revoking points from the existing country wallet - handled by the support team
Allocating the equivalent points to the required country wallet - handled by me (Priyakshi)
We receive a large number of point transfer requests on a day-to-day basis. Since we already have an automated process available for this, manually addressing each request results in a significant waste of time and effort. It also requires considerable involvement from the client team due to manual approvals.
Therefore, enabling the Points Transfer module for Infosys is critical and necessary.</t>
  </si>
  <si>
    <t>Solution Request 186183 Volkswagen India Technology Solutions</t>
  </si>
  <si>
    <t>Few Clarifying Questions from the Prospect:
1. Peer-to-Peer Recognition Workflow
Looking to set up a peer-to-peer recognition program on VC that runs twice a year, with each cycle open for 2–3 weeks.
Employees should be able to share a total of 21 badges during each cycle.
Controls are required to prevent badge misuse, including: Limits to ensure a single recipient cannot receive multiple badges from the same sender. Enforcement of sender–receiver pairing restrictions.
At the end of each cycle, the employee receiving the highest number of recognitions should automatically be identified and rewarded with an award along with points.
Can this end-to-end workflow be configured within the system?
2. Decimal Points Support
Is it possible to upload and manage points in decimal values?
3. Mobile App Access &amp; Authentication
Mobile app access is critical. Since Outlook/Teams login is not enabled on personal devices due to legal restrictions, can the platform support mobile number–based login with OTP authentication?
4. Points Revocation &amp; Notifications
Can points be revoked from an employee’s wallet, and can an automated email notification be triggered to inform the employee when this action is taken?
5. Unused Points Reminders
Is it possible to trigger automated email notifications or nudges to employees reminding them about unused points?</t>
  </si>
  <si>
    <t>Detailed above</t>
  </si>
  <si>
    <t>Volkswagen India Technology Solutions</t>
  </si>
  <si>
    <t>1. Peer-to-peer recognition
Answer: The system currently supports certain controls based on calendar months or quarters. However, this specific, twice-yearly, cycle-based setup is a specialized use case. We will need additional time to validate feasibility with our Tech team and expect to provide a confirmation by early next week.
Additionally, while the system records recognition data, it does not have an automated feature to grant an award to the employee receiving the highest number of recognitions. The HR Admin can identify and reward the top recipient manually using either the dashboard reports or the leaderboard.
2. Decimal Points Support
Answer: No, the system can only handle integer values.
3. Mobile App Access &amp; Authentication
Answer: The mobile app supports OTP-based login. By default, OTPs are sent to the employee’s official email ID. Only if an email ID is not available in the system, the OTP will be sent to the registered mobile number.
4. Points Revocation &amp; Notifications
Answer: Yes, points can be revoked from an employee’s wallet through the HR Admin Dashboard. However, the system does not currently trigger an automated email notification when points are revoked.
5. Unused Points Reminders
Answer: Yes, the system automatically sends reminder emails to employees with unused points. These reminders are triggered based on predefined conditions, such as a minimum unused point threshold (250 in India) and inactivity in the last 30 days.</t>
  </si>
  <si>
    <t>50,00,000</t>
  </si>
  <si>
    <t>Workflow setup</t>
  </si>
  <si>
    <t>General Configuration Questions</t>
  </si>
  <si>
    <t>Country-Level Report Access for HR Admins – Feasibility &amp; Next Steps</t>
  </si>
  <si>
    <t>Require Location &amp; Department-specific reports for particular HR's who can download the report directly from the dashboard without accessing other options in the dashboard. They should be able to access only reports section.</t>
  </si>
  <si>
    <t>LTTS, Tata Motors &amp; BOsch BGSW</t>
  </si>
  <si>
    <t>Hi Ankit,
Regarding country-level access for HR Admins, where an admin can view reports only for the countries assigned to them, this has been discussed with @Armaan. This requirement will be addressed as part of the ongoing initiative from Product team, to provide restricted access to only reports for an admin.
Currently, country assignment for HR Admins is not an existing feature and will need to be developed. This enhancement must also remain compatible with the existing Reports filter UI. At present, report filters operate independently and do not support hierarchical relationships.
This means that if an admin is assigned:
Countries: A, B, C
Departments: D1, D2, D3
Then:
The Country filter will show A, B, C
The Department filter will show D1, D2, D3
However, a hierarchical mapping between country and department for an admin—such as:
Country A → Departments D1, D2
Country B → Departments D2, D3
Country C → Department D3
is not supported with the current Reports filter UI.
As a next step, @Armaan will validate the feasibility of this approach with the technical team, define the appropriate technical approach for country mapping, and plan the work into an upcoming sprint.
@Armaan, please help move this forward and share the expected timelines after discussing with the tech team.
Please note: This request will be addressed by the Product team as a part of their ongoing user level reports access project.</t>
  </si>
  <si>
    <t>HR report access view</t>
  </si>
  <si>
    <t>Can assist n increasing the utilisation</t>
  </si>
  <si>
    <t>Tata Motors Dealers &amp; Fleet RFP</t>
  </si>
  <si>
    <t>request to fill RFP for Tata Motors shared over email with Hemanga</t>
  </si>
  <si>
    <t>tata motors</t>
  </si>
  <si>
    <t>https://vantagecircle.sharepoint.com/sites/Solutions/_layouts/15/Doc.aspx?sourcedoc=%7BBCCAB9D2-25C8-4B0E-BAB8-18DC2340728E%7D&amp;file=RFP_Loyalty_11_03_26_Ankit%20Mehta.docx&amp;action=default&amp;mobileredirect=true</t>
  </si>
  <si>
    <t>dealers portal</t>
  </si>
  <si>
    <t>RFP</t>
  </si>
  <si>
    <t>Nilimpa/Kongkana</t>
  </si>
  <si>
    <t>TCS - Login/Redeem requirement - OTP also to be sent to secondary email</t>
  </si>
  <si>
    <t>TCS US users are mostly working at client site. Here they dont have access to their TCS emails. Thus, they aren't able to access the OTPs for login, redemption. They would like to know if OTPs can be sent to an additional email (if listed) on the profile.</t>
  </si>
  <si>
    <t>30000</t>
  </si>
  <si>
    <t>US/CA</t>
  </si>
  <si>
    <t xml:space="preserve">USD 3 million </t>
  </si>
  <si>
    <t>LOGIN/REDEMPTION OTP</t>
  </si>
  <si>
    <t>One of my prospects, Tech Mahindra, requires a secure way to restrict access to the Vantage Perks platform only for their active employees. Since they are not opting for SSO or HRIS integration at this stage, they want to understand alternative authentication mechanisms that can achieve this. A short call between our Solutions Team and their POC will be of great help in this case.</t>
  </si>
  <si>
    <t>While I have suggested options like domain restriction, whitelisting, and bulk CSV upload to control user access, the client is specifically interested in exploring OTP-based authentication and understanding how it can work with Vantage Circle. They are seeking an expert solution from your end to evaluate their authentication needs in detail and recommend the best way forward.</t>
  </si>
  <si>
    <t>OTP login is available as a backup option, primarily used in scenarios where users have forgotten their passwords. To enhance this into a complete two-factor authentication (2FA) solution—where OTPs are sent to users' corporate email addresses—would require further development effort across both the web and mobile platforms.
On a related note, while the mobile app currently maintains active sessions until users manually log out, there’s no automatic timeout feature in place. In contrast, the web platform typically enforces a standard 30-minute inactivity timeout. To meet the client’s request for re-authentication prior to any transaction, implementing session expiration on mobile would also involve further development effort.</t>
  </si>
  <si>
    <t>User authentication</t>
  </si>
  <si>
    <t>Medium as they are in a lookout of a vendor for their employee benefits platform.</t>
  </si>
  <si>
    <t>Nilimpa
Garima</t>
  </si>
  <si>
    <t>Piyush has proposed a call with the POC and will keep you posted once I hear back from them.</t>
  </si>
  <si>
    <t>Solution Request 191188 TATA Tech Automated Badge for 1st time Appreciators</t>
  </si>
  <si>
    <t>Automated badge for 1st time appreciator</t>
  </si>
  <si>
    <t>The client wants to automate a badge for an employee who gives appreciation for the first time on the R&amp;R portal. Currently informed we don't have this feature so will be using CSV upload to achieve the same. However if we can automate this, it can act as a new feature to get more employees on board.</t>
  </si>
  <si>
    <t>Tata Technologies</t>
  </si>
  <si>
    <t>We will evaluate the feasibility of the proposed enhancement and initiate further discussions as required.
A concept note was created and reviewed internally by Solutions Team. Nayan and Ankit agreed to use TOP Motivator and no further discussions were done.</t>
  </si>
  <si>
    <t>Received on friday, responded on Monday</t>
  </si>
  <si>
    <t>Solution Request 192189 Kotak Mahindra Bank Mobile App Activation</t>
  </si>
  <si>
    <t>OTP for mobile APP login for Kotak</t>
  </si>
  <si>
    <t>Employees get OTP on mobile when logging into the mobile app, instead of only the email OTP sent currently. In Kotak, 50,000 employees are on the street &amp; cannot access email (it is not mandatory for them to check email). As employees can check email only if they are on the office IP so they cannot access email OTP to login. Additionally, when these employees are onboarded for Monetary award Mobile OTP will be required again to redeem the points.</t>
  </si>
  <si>
    <t>Our understanding: Kotak intends to enable OTP-based login for its mobile app. While SSO is already in place, approximately 50,000 field employees do not have access to corporate email on their mobile devices. Since email access is restricted to office IP, these employees are unable to receive email-based OTPs, preventing them from logging in.
To address this, OTPs should be delivered via SMS to the employee’s registered mobile number instead of email. 
Additionally, in the near future, the “View Code” functionality will also need to be supported through SMS delivery.
@Subhendu Gogoi, @Kinshuk Kashyap, and @Dhurba Baishya , could you please confirm your availability tomorrow after 11:30 am or after lunch before 4:00 pm to discuss and finalize the approach on this?</t>
  </si>
  <si>
    <t>88000</t>
  </si>
  <si>
    <t>Mobile otp</t>
  </si>
  <si>
    <t>Need to make the app live. Very high priority item.</t>
  </si>
  <si>
    <t>kongkana.bayan@vantagecircle.com</t>
  </si>
  <si>
    <t>Kongkana Bayan</t>
  </si>
  <si>
    <t>Solution Request::204200Tejas Networks &lt;&gt; Budget Utilisation Email</t>
  </si>
  <si>
    <t xml:space="preserve">
Budget Utilisation reminder email for Functional Heads</t>
  </si>
  <si>
    <t>The system should trigger Budget utilization emails after every award approval should be set up for Functional Heads present in additional_info 1 of the employee details.
In this case, the budget gets deducted from the approver (present in additional_info1)</t>
  </si>
  <si>
    <t>Tejas Networks Limited</t>
  </si>
  <si>
    <t xml:space="preserve">Hello @Kongkana,
Thank you for the detailed clarifications shared in the email thread below.
We have checked with the Tech-Ops team, and the budget displayed on the front end can be configured on a yearly basis instead of quarterly. With this update, both the Available Budget and Spent Budget will be visible directly on the front end to the approver at the time of each approval.
Regarding the request for an additional budget-utilisation email after every approval, we would like to highlight that the existing Budget Reminder email already includes budget and utilisation details. This email is triggered on the 2nd and 4th Thursdays of every month, and a sample has been attached for reference.
</t>
  </si>
  <si>
    <t>2600</t>
  </si>
  <si>
    <t>INR 12 per employee per month</t>
  </si>
  <si>
    <t>INR 2080000</t>
  </si>
  <si>
    <t>Budget Utilisation Email</t>
  </si>
  <si>
    <t>Client has converted from Upload Points to RnR Module</t>
  </si>
  <si>
    <t>Solution Request 109102::Feasibility Check and Workaround Suggestions for Coforge’s Specific Queries</t>
  </si>
  <si>
    <t>Client has some specific queries which we need to check and provide the solutions if the feasibility is there. If not possible can we suggest some suitable workarounds for the same.</t>
  </si>
  <si>
    <t>Please review the following requirements from a prospect and advise on feasibility, possible approaches, and any dependencies:
1. Award Winner Presentation Slides
- Create presentation slides for award winners that can be used in town halls and manager meetings.
- Investigate the possibility of generating automated PowerPoint presentations for quarterly award announcements.
2. Panel Approval Process – Customization Options
- Ability to configure multiple panel members (3–5 approvers) for award approval workflows.
- Panel members should have commenting capabilities on submissions.
- Option to trigger interview initiation within the approval process.
3. Contractor Management for Awards
Special handling for ~400 contractors who are eligible for awards but should not have platform access.
Award notifications for these contractors should be sent to their vendors instead of directly to the contractors.</t>
  </si>
  <si>
    <t>Trane Technologies</t>
  </si>
  <si>
    <r>
      <rPr>
        <sz val="11"/>
        <color rgb="FF000000"/>
        <rFont val="Calibri"/>
      </rPr>
      <t xml:space="preserve">Response from Solutions team are in blue font.                                      1. Award Winner Presentation Slides
</t>
    </r>
    <r>
      <rPr>
        <sz val="11"/>
        <color rgb="FF0070C0"/>
        <rFont val="Calibri"/>
      </rPr>
      <t xml:space="preserve">This feature is currently not available. However, a similar capability powered by AI is already part of our  roadmap.
</t>
    </r>
    <r>
      <rPr>
        <sz val="11"/>
        <color rgb="FF000000"/>
        <rFont val="Calibri"/>
      </rPr>
      <t xml:space="preserve">2. Panel Approval Process – Customization Options
- Ability to configure multiple panel members (3–5 approvers) for award approval workflows.
</t>
    </r>
    <r>
      <rPr>
        <sz val="11"/>
        <color rgb="FF0070C0"/>
        <rFont val="Calibri"/>
      </rPr>
      <t xml:space="preserve">Yes, this is feasible. The panel award option in the HR dashboard allows configuration of multiple approvers.
</t>
    </r>
    <r>
      <rPr>
        <sz val="11"/>
        <color rgb="FF000000"/>
        <rFont val="Calibri"/>
      </rPr>
      <t xml:space="preserve">- Panel members should have commenting capabilities on submissions.
</t>
    </r>
    <r>
      <rPr>
        <sz val="11"/>
        <color rgb="FF0070C0"/>
        <rFont val="Calibri"/>
      </rPr>
      <t xml:space="preserve">Yes, panel members can add comments on the platform during the award announcement process.
</t>
    </r>
    <r>
      <rPr>
        <sz val="11"/>
        <color rgb="FF000000"/>
        <rFont val="Calibri"/>
      </rPr>
      <t xml:space="preserve">- Option to trigger interview initiation within the approval process.
</t>
    </r>
    <r>
      <rPr>
        <sz val="11"/>
        <color rgb="FF0070C0"/>
        <rFont val="Calibri"/>
      </rPr>
      <t xml:space="preserve">This functionality is not available, as it falls outside the scope of our platform.
</t>
    </r>
    <r>
      <rPr>
        <sz val="11"/>
        <color rgb="FF000000"/>
        <rFont val="Calibri"/>
      </rPr>
      <t xml:space="preserve">3. Contractor Management for Awards
Special handling for ~400 contractors who are eligible for awards but should not have platform access. Award notifications for these contractors should be sent to their vendors instead of directly to the contractors.
</t>
    </r>
    <r>
      <rPr>
        <sz val="11"/>
        <color rgb="FF0070C0"/>
        <rFont val="Calibri"/>
      </rPr>
      <t>To proceed, could you please clarify how the client would like to manage R&amp;R for these contractors? Are they expecting monetary awards, non-monetary recognition, certificates, or a combination?</t>
    </r>
  </si>
  <si>
    <t>6000000</t>
  </si>
  <si>
    <t>dhiresh.singh@vantagecircle.com</t>
  </si>
  <si>
    <t>Dhiresh Singh</t>
  </si>
  <si>
    <t>Solution request 9084::Disabling Competitor EdTech Offers on the Perks Platform for Univo</t>
  </si>
  <si>
    <t>Exclusion of EdTech-specific Offers from competitor brands in Perks Platform for Univo Edtech</t>
  </si>
  <si>
    <t xml:space="preserve">Univo Edtech is evaluating the Vantage Perks platform for their employees. However, since they are an EdTech company themselves, they have raised a concern about the presence of discounts and offers related to other EdTech brands on the platform.
They view this as a potential business conflict and would like the ability to exclude or opt out of EdTech-related offers in their instance of the Perks platform.
Action Required:
Requesting the solutions/product team to assess if it’s possible to:
Filter or exclude specific categories (e.g., "Education" or "Learning") from appearing to Univo Edtech employees
Or, alternatively, disable visibility of specific brand offers considered competitors
Please confirm feasibility and effort estimation, if applicable.
</t>
  </si>
  <si>
    <t>Univo Edtech</t>
  </si>
  <si>
    <t>The necessary checks in coordination with the technical team are done and confirmed that it is feasible to remove exclusive , cashback and all other offers related to other EdTech brands.The client Univo Edtech hasnot conformed on this as the client is not yet on-boarded</t>
  </si>
  <si>
    <t>900+</t>
  </si>
  <si>
    <t xml:space="preserve">High, as this is a business conflict of interest </t>
  </si>
  <si>
    <t>Solutions requests 132125::Proposal to Automate Annual Quota Adjustments for Limelight Award Based on Team Size Changes</t>
  </si>
  <si>
    <t>Vitesco Technologies has recently implemented the quota functionality for their sole Spot award, the Limelight Award. The client prefers the quota to be allocated annually, with RMs receiving 50% of their team size as their quota. For example, if Anurup being an RM manages a team of 20, he gets a quota of 10 per year. However, since team sizes can fluctuate in the middle of the year, quota adjustments are often required. This currently involves significant manual effort and is time-consuming. I was wondering if there’s a way to automate this process. Please explore the possibility and confirm.</t>
  </si>
  <si>
    <t>Vitesco Technologies</t>
  </si>
  <si>
    <t>As per our analysis this is a product enhancement so it is forwarded to the recognition team for further actions.</t>
  </si>
  <si>
    <t>1063</t>
  </si>
  <si>
    <t>25 pupm</t>
  </si>
  <si>
    <t>200000</t>
  </si>
  <si>
    <t>Automated quota adjustment</t>
  </si>
  <si>
    <t>High as a lot of manual task and internal stakeholders are involved while making quota adjustments</t>
  </si>
  <si>
    <t>Solution Request::201197::RFP query</t>
  </si>
  <si>
    <t>Does co-pilot and phydigital cards work on the E2E CSX instance?</t>
  </si>
  <si>
    <t>WCB NS</t>
  </si>
  <si>
    <t>Co-pilot &amp; Phydigital</t>
  </si>
  <si>
    <t>Request received on Sunday</t>
  </si>
  <si>
    <t>Solution request::199195::Award Specific Budget Wallet for Budget Holders (Manager's Budget Wallet)</t>
  </si>
  <si>
    <t>Award Specific Budget Wallet for Budget Holders (Manager's Budget Wallet)</t>
  </si>
  <si>
    <t>Can we evaluate the requirement for Award-Specific Budgets?
For example, if a company has five awards and, for each award, the budget holder maintains five separate wallets. We currently support this functionality in a backend-driven manner, where wallets are aligned to specific awards.
However, could you please assess the feasibility of extending this capability to the budget holder level with visibility in the frontend as well? The reason for this request is that we have received multiple client requirements where a fixed budget needs to be allocated per award. At present, we manage this using quota + No Budget, but this approach does not always yield the desired outcome.</t>
  </si>
  <si>
    <t>The request to introduce award‑specific budget wallets for budget holders, is a capability currently supported only through backend-controlled configurations. Implementing this at the frontend and budget‑holder level would require significant architectural, UI, and reporting changes, making it a potential new product feature rather than a simple enhancement.So ticket is forwarded to Product team. Awaiting Product’s evaluation and confirmation on next steps from Shasanka/Nayan.</t>
  </si>
  <si>
    <t>Priority - Medium. We have received multiple client requirements where a fixed budget needs to be allocated per award. At present, we manage this using quota + No Budget, but this approach does not always yield the desired outcome.</t>
  </si>
  <si>
    <t>Solution Request 200196 Addverb Technologies</t>
  </si>
  <si>
    <t>The client has requested a feature to notify an entire department via email when one of its members receives an award. For instance, if the award recipient is from After Sales, all employees within the After Sales department should receive a notification. The intent is to encourage colleagues to like and comment on approved nominations and thereby drive higher participation, as a majority of employees have not yet logged in to the portal.</t>
  </si>
  <si>
    <t>Addverb Technologies</t>
  </si>
  <si>
    <t>Our understanding: The client wants recognition emails to be sent to the entire department to increase engagement. The core issue is low login behavior - many users are not logging into the platform, so they are missing in-platform notifications. 
While bulk emails may improve visibility, we do not recommend this approach due to the increase in recurring email costs (separate from any custom development effort).
Given the cost implications, a detailed cost analysis would be required before considering bulk email as a solution.
Based on the data from the past six months, sending the email individually to every employee in the department would result in an average of approximately 5000 extra emails.
We have discussed this with the Ops team, and a more cost-effective approach would be to use a distribution list, as it is counted as a single email.
Under this approach, the client can create a distribution list for each department and share it with us. While this may still increase the overall overhead, the impact would be significantly lower compared to adding each employee in the department to the CC matrix.</t>
  </si>
  <si>
    <t>1000</t>
  </si>
  <si>
    <t>189000 per annum</t>
  </si>
  <si>
    <t>800000 per annum</t>
  </si>
  <si>
    <t>Email Notification</t>
  </si>
  <si>
    <t>Please note a similar feature was developed for a former client First Source.</t>
  </si>
  <si>
    <t>Solution request 155150::Weaver- Notification Message for Previously Awarded Nominees</t>
  </si>
  <si>
    <t>Weaver- Notification Message for Previously Awarded Nominees</t>
  </si>
  <si>
    <t>This is a requirement for the company Weaver. Weaver has cross-department awards. They want nominators to see a message indicating if a nominee has already received any awards in the past ( for a quarter ).
Whenever a nominator initiates a new nomination, a message should appear below stating:
“This nominee has already received an award.” (if applicable)
However, this message should serve only as an informational warning — it should not restrict or prevent the nominator from proceeding with the nomination if they still wish to do so. In essence, the message is intended as a prompt for awareness, not a limitation.</t>
  </si>
  <si>
    <t>Weaver and Tidwell India LLP</t>
  </si>
  <si>
    <t>The current system architecture does not support passive notifications. Key points include:
Validation Flow Limitation: The system treats validations as hard stops; if a nominee has already received an award, the nomination process must be restarted.
Flexibility in Nominations: Hard restrictions could block valid repeat recognitions, which goes against the inclusive intent of the program.
Performance Concerns: Real-time checks for prior awards would increase system complexity and load.
Alternative Option: If the goal is to restrict awards within a specific timeframe (e.g., one per quarter), that can be enforced via backend rules.
Passive alerts without blocking nominations are not feasible in the current setup.</t>
  </si>
  <si>
    <t>INR180000</t>
  </si>
  <si>
    <t>Different for different award</t>
  </si>
  <si>
    <t>Display an informational warning like: “This nominee has already received an award” without restricting the nomination.</t>
  </si>
  <si>
    <t>This is a requirement from the client. Since the awards are cross-functional, the nominator from other departments should be able to see if the recipient has previously received the same award within a specified time period.</t>
  </si>
  <si>
    <t>Solution Request 202198 Quarter Information in Certificate: Novel Jewels</t>
  </si>
  <si>
    <t>In the Certificate configuration, the Quarter details is required along with the Year</t>
  </si>
  <si>
    <t>Novel Jewels</t>
  </si>
  <si>
    <t>Our understanding: The client has requested that quarter information be included in the generated certificates.
Solution: The product team is already working on adding quarter information to the certificates. Following the client call, it was identified that the year information is also required in addition to the quarter. This requirement has been communicated to Armaan, who is currently working on the project.
@Armaan Siddique, please confirm once the additional scope has been taken up and share the expected timelines.</t>
  </si>
  <si>
    <t>1500</t>
  </si>
  <si>
    <t>INR 120000</t>
  </si>
  <si>
    <t>INR 400000</t>
  </si>
  <si>
    <t>Certificate configuration with Quarter &amp; Year Field</t>
  </si>
  <si>
    <t>High Priority. Mandatory feature for Go-Live</t>
  </si>
  <si>
    <t>Ongoing project of Product, co-ordinated for the enhancement</t>
  </si>
  <si>
    <t>Solution Request 146141::Request to Enable Deletion of Custom CSV Templates on Dashboard</t>
  </si>
  <si>
    <t>The option to delete a custom CSV template is not available on dashboard. This functionality is needed to have a better control similar to what we did for certificates.</t>
  </si>
  <si>
    <t>White Rivers Media</t>
  </si>
  <si>
    <t>We’ve noted that the option to delete custom CSV templates is currently missing from the dashboard. This has been identified as a useful enhancement to ensure better control and management of templates similar to the functionality we previously implemented for certificate deletion.
After reviewing the request, we’ve found this feature to be technically feasible. As such, we’re planning to include it in the scope of our upcoming sprint.</t>
  </si>
  <si>
    <t>https://vantagecircle.sharepoint.com/sites/Solutions/Shared%20Documents/Apps/Microsoft%20Forms/Solution%20Request%20Form/Question/Screenshot%202025-09-26%20at%2012.17.45%20PM_Debraj%20Gogoi.png</t>
  </si>
  <si>
    <t>400</t>
  </si>
  <si>
    <t>180000</t>
  </si>
  <si>
    <t>Ability to delete of CSV templates</t>
  </si>
  <si>
    <t>Nilimpa
Pankaj</t>
  </si>
  <si>
    <t>The client is looking for an option on the platform that allows colleagues to create posts to share their thoughts, achievements, project updates, team activities, etc., similar to a wall or feed, somewhat like Facebook. This feature would be in addition to the existing badges and awards functionality.
According to the client, a majority of their employees are below 30 years of age, and introducing such an interactive feature could encourage greater engagement on the platform. The objective is to increase user participation. Younger users are highly accustomed to platforms such as Instagram, Facebook, and LinkedIn, where the feed is the central interaction layer.</t>
  </si>
  <si>
    <t>Currently, this functionality is not available on the platform outside of the existing badges and awards features.
However, the Product team is working on a Community feature aimed at improving engagement and interaction among employees.
@Shasanka, to review this requirement and confirm whether the upcoming Community feature would align with or support the use case described by the client?</t>
  </si>
  <si>
    <t>12000</t>
  </si>
  <si>
    <t>240000</t>
  </si>
  <si>
    <t>Social Feed / Wall Functionality</t>
  </si>
  <si>
    <t>Solution Request::205201::flexibility needed</t>
  </si>
  <si>
    <t>1) Rename "Appreciation" and "Nomination" categories to client terminology. 2) Remove the redundant step that shows reporting manager details for award workflows that do not require any approval</t>
  </si>
  <si>
    <t>Argenx</t>
  </si>
  <si>
    <t>The client wants flexibility to rename “Appreciation” and “Nomination” and to hide the reporting‑manager step when no approvals exist. The product team clarified that renaming core constructs isn’t supported due to deep system dependencies, though some UI simplifications (like disabling Appreciation) are possible.</t>
  </si>
  <si>
    <t>Around USD 1.5 PEPM</t>
  </si>
  <si>
    <t>Not known</t>
  </si>
  <si>
    <t>Please refer details above</t>
  </si>
  <si>
    <t>We are in the final leg of the RFP evaluation</t>
  </si>
  <si>
    <t>Solution Request 206202 Email reminders</t>
  </si>
  <si>
    <t>Kotak - Automated reminder emails to be sent to managers and employees for unused budget and reward points</t>
  </si>
  <si>
    <t xml:space="preserve">Hi team,
We need to send out automated reminder emails to all managers to use any remaining budget for Kotak. We also need to send out reminder emails from next week to all employees to redeem reward points, as these are lapsing points.
Requirement :
1) Send reminder emails to all managers (around 60) with the remaining budget to utilise it. These emails should go out 2-3 days before the last working day of February, i.e., 25-26th Feb, and another email on 28th Feb. And post that, we need to send reminder emails every week starting March, to managers with unused budget.
2) Automated reminder emails to be triggered to employees (around 1.5k - 2k) with unused reward points before the end of Feb, i.e, 1 email in Feb and one email every week starting March, as reward points lapse at the end of each month.
Let me know if any further calrifications are required. Thanks.
Regards
Prachurjya
</t>
  </si>
  <si>
    <t>Our understanding: Kotak Mahindra Bank has a budget/points expiration system. From a utilization perspective, you would like to trigger budget reminder emails to Managers and points reminder emails to employees before the expiry in March.
Solution:
We already have:
A budget reminder email, that is sent every 2nd and 4th Thursday of the month.
A points reminder email, that is sent on every 14th and 28th day of the month, if the user has not spent points in the last 30 days.
We do not recommend increasing this frequency as it may end up spamming the users. However, for a special case like FY ending, and expiring budget/points, we may consider an increase in frequency for points reminder based on the logic (that the user has not redeemed in the last 30 days).
We are yet to receive confirmation on the budget reminder email, post that we will begin the work to temporarily increase the frequency of these emails for March'2026.</t>
  </si>
  <si>
    <t>Automated reminder emails</t>
  </si>
  <si>
    <t>Re: Solution Request :9689/9790/9891/9992/10093/10194/10295::Ongoing RFP Question of Willbur- Ellis</t>
  </si>
  <si>
    <t>What reporting features and dashboards are available (e.g., usage, DEI, budget, eNPS, retention)?</t>
  </si>
  <si>
    <t>Ongoing RFP Question of Willbur- Ellis</t>
  </si>
  <si>
    <t>Willbur Ellis</t>
  </si>
  <si>
    <t>Willbur Ellis Recognition Program</t>
  </si>
  <si>
    <t>High priority as it is an ongoing RFP</t>
  </si>
  <si>
    <t xml:space="preserve">New Requirement from Celebal Technologies
</t>
  </si>
  <si>
    <t>The client has requested that the nominator’s name be included in the subject line of the auto-triggered email sent to the recipient. Although we clarified that the nominator’s name is already mentioned within the body of the email, the client emphasized that visibility in the subject line significantly influences open rates. According to them, employees typically scan emails within seconds, and seeing the nominator’s name upfront would create a sense of importance and urgency, prompting immediate attention and action rather than deferring it. The ultimate goal is to increase engagement.</t>
  </si>
  <si>
    <t>Adding the nominator’s name to the award email subject line is unlikely to improve engagement, as data shows low platform usage is driven more by lack of structured triggers than by email copy. Engagement spikes only when there is an active push, and Teams logins are significantly underutilized. The recommended actions are to activate structured campaigns and review the Microsoft Teams adaptive card setup rather than modifying subject lines.</t>
  </si>
  <si>
    <t>35000</t>
  </si>
  <si>
    <t>900000</t>
  </si>
  <si>
    <t>Solution Request 209205 LTM Squad(Panel) Award</t>
  </si>
  <si>
    <t>Following our discussion with the LTM today, they provided comprehensive requirements for the Squad (Panel) Award. Below is a detailed overview:
Requirements Summary:
1. Squad Award functions as a team-based recognition award.
2. The Award must be specific to sub-business units.
3. Currently, 42 sub-business units exist, with potential for future increases.
4. Each Panel Award should include panellists and winner selectors limited to individuals within specific sub-business units only.
5. Client will populate the sub-business unit information in the Department column.
We seek your expert recommendation on the most feasible technical solution to meet these requirements efficiently while maintaining platform stability.</t>
  </si>
  <si>
    <t>LTM</t>
  </si>
  <si>
    <t xml:space="preserve">Our Understanding
LTM has a Squad Award that is a team-based recognition program structured around sub-business units (currently 42 in total).
Each sub-business unit requires its own specific panelists and winner selectors.
The sub-business unit information will be provided in the Department column.
Based on previous discussions, the client would like the configurations to be completed as soon as possible.
Proposed Solution (As Per Current Architecture)
With the existing system architecture, the only feasible approach is to create separate Panel Awards for each sub-business unit.
The Department column must contain accurate sub-business information, as this is critical for creating and managing separate awards.
Sub-business-specific configurations can be managed using the Advanced Filter (Department filter).
Different panelists and winner selectors can be assigned by configuring separate awards for each sub-business unit.
Please note that exploring any alternative technical solution would require additional time. Kindly confirm whether the timelines remain unchanged or if they have been revised in case further exploration is required.
If there are any additional considerations that we have not covered, please feel free to share your inputs.
</t>
  </si>
  <si>
    <t>10000000</t>
  </si>
  <si>
    <t>Samiran Hazarika (Implementation), Nashreen (Ongoing)</t>
  </si>
  <si>
    <t>High Priority as per organisation requirement</t>
  </si>
  <si>
    <t>Solution Request 210206 Amdocs Budgets/Wallets iCare-a-Gift sync</t>
  </si>
  <si>
    <t>Amdocs wants to create managers wallet</t>
  </si>
  <si>
    <t xml:space="preserve">Amdocs is looking to give managers rights to give points on the platform by enabling the wallets for them. </t>
  </si>
  <si>
    <t xml:space="preserve">Our Understanding:
Based on the slide shared earlier and our discussion with the client, we understand that Amdocs manages multiple budgets for its recognition programs:
Division Budget – Controlled by COE members within each division and used to award employees with points, gifts, and vouchers.
Manager Gifting Budget – A separate budget allocated to managers for one-to-one gifting of points, physical gifts, and vouchers.
Peer-to-Peer Rewards Budget – Managed through iCare, which requires a complete two-way sync to be integrated into a-gift.
Amdocs would like to explore options to consolidate these budgets within the a-gift (Vantage Circle) platform without requiring any additional development, leveraging existing platform features.
Proposed Solution:
We have prepared a solution document covering three scenarios. Additionally, we have included a video for Scenarios 1 and 2 for better clarity.
​Approach Note Amdocs Wallets.docx​
​Amdocs_Gifting_Wallets.mp4​
Please review and let us know if this works.
</t>
  </si>
  <si>
    <t>22k</t>
  </si>
  <si>
    <t>Israel</t>
  </si>
  <si>
    <t>2 dollar</t>
  </si>
  <si>
    <t>Wallet</t>
  </si>
  <si>
    <t>important client requirement. will have business impact</t>
  </si>
  <si>
    <t>Approach Note</t>
  </si>
  <si>
    <t>Video</t>
  </si>
  <si>
    <t>Solution Request 211207 Argenx</t>
  </si>
  <si>
    <t>1) Can there be a way where in multiple badges can be selected in one recognition
2) We have recently created one more category of hashtags but the category II hashtags are linked to category I hashtags. Is there a way these could operate independently
3) if there is a group of people with whom i work most (but they are not necessarily part of a defined team/diff location/diff cost centres). Can i as a user give them a team name (specific to my account only) and using the team name quickly recognize them without the need to add them one by one every time
4) if i have a team of this sort and i have their email id list (comma separated in a document), can i just copy and past that list in our employee search tab and the system identifies and selects them quickly</t>
  </si>
  <si>
    <t xml:space="preserve">Point 3-4: To product
Point 1-2: Within the non-monetary recognition workflow, there is an existing capability to add images. We can leverage this by introducing a predefined image library specifically configured for Argenx. This would function similarly to selecting stickers in a comments section.
Proposed approach:
The user selects a badge as usual.
Instead of adding secondary hashtags, the user selects additional attributes (e.g., quality, skill, or other criteria defined by the client) in the form of images from the predefined library.
These selected images would appear alongside the badge in the feed carousel.
This approach avoids any global frontend changes while still meeting the client’s requirement to visually represent multiple recognition criteria.
</t>
  </si>
  <si>
    <t>USD 1.75 PEPM</t>
  </si>
  <si>
    <t>Highest priority. Client decision will be based on these</t>
  </si>
  <si>
    <t>Feasibility Check – Reordering “View Post” Links to Prioritise MS Teams Integration</t>
  </si>
  <si>
    <t>We have received a new requirement from Celebal Technologies. The automated email sent to award recipients currently includes links to view the post either on the web or via MS Teams.
Since the client has recently integrated MS Teams, they would like to drive higher adoption through that channel. Accordingly, they have requested that the “View Post on MS Teams” option be positioned before the standard “View Post” (web) link in the email. The objective is to establish MS Teams as the primary mode of accessing portal activities. Kindly assess the feasibility of this change and let us know whether this requirement can be accommodated.</t>
  </si>
  <si>
    <t>The request will not be feasible as of now as the award received email format is standard across all clients.
However,  there is a product feature in the roadmap to incorporate the award received email in the DIY email customisation module in the Admin Dashboard. Once, this feature is live then customisations in the award received email will be possible from the Admin Dashboard.</t>
  </si>
  <si>
    <t>Email template link</t>
  </si>
  <si>
    <t>What tools are available to manage budgets (e.g., spend caps, alerts, team dashboards)?</t>
  </si>
  <si>
    <t>How can managers use recognition data in performance reviews? Is there an integration with Workday?</t>
  </si>
  <si>
    <t>High priority, as it is an ongoing RFP</t>
  </si>
  <si>
    <t>Quota related</t>
  </si>
  <si>
    <t>Customization in Automatic Quota Allocation</t>
  </si>
  <si>
    <t>This requirement concerns Automatic Quota Allocation for users. This is about the client Opella. The client allocates quotas to every employee for specific awards. Fresh quotas are allocated every quarter, and remaining quotas are carried forward every quarter and lapse (if unused) at the end of the calendar year. However, when a new employee joins the org mid-cycle, they must wait until the next allocation cycle (i.e., the next quarter) to receive their quota, unless we manually allocate it. Would like to request a solution that automatically allocates quotas to new users when they join the company and are onboarded onto the platform, based on their grade group.</t>
  </si>
  <si>
    <t>We have said that the</t>
  </si>
  <si>
    <t>Approx 10,000</t>
  </si>
  <si>
    <t>EU</t>
  </si>
  <si>
    <t xml:space="preserve">90 lakhs per year </t>
  </si>
  <si>
    <t>10 crs INR</t>
  </si>
  <si>
    <t>Quota Allocation</t>
  </si>
  <si>
    <t>Not SURE</t>
  </si>
  <si>
    <t>High Value client and the requirement does makes sense</t>
  </si>
  <si>
    <t>LTI Mindtree R&amp;R Implementation</t>
  </si>
  <si>
    <t>LTM R&amp;R Workflow</t>
  </si>
  <si>
    <t>Co-ordinating R&amp;R workflow with implementation</t>
  </si>
  <si>
    <t>Initial workflow document attached in link.
Nomination Governance in separate email chain.</t>
  </si>
  <si>
    <t>Governance</t>
  </si>
  <si>
    <t>What controls exist to detect fraud or abuse? Are alerts or audits available?</t>
  </si>
  <si>
    <t>How do you manage taxable data related to rewards (including international considerations)?</t>
  </si>
  <si>
    <t xml:space="preserve">LTTS_Feasibility check for enhancements
</t>
  </si>
  <si>
    <t>LTTS has requested for 3 enhancements for their nomination process. Kindly review them and let us know how it can be catered.</t>
  </si>
  <si>
    <t>Basket Nomination: Nominators are uploading multiple nominations within a single tab. This makes it cumbersome to approve or decline individual nominations, as there is no option available to act on each nomination separately within the tab.
Duplicate Nominations: The system allows multiple nominations for the same individual, which makes it difficult to review and decline all duplicate entries individually through the portal.
Nomination Criteria:
Currently, peer-to-peer and self-nominations are enabled in the portal, providing nomination access across all grades. This defeats the intent of the recognition program, as it is monetary in nature.
Hence, it is important to restrict nomination eligibility to IS or individuals with direct reportees. We have observed several peer-to-peer nominations for reasons such as “good team player”, which can be adequately recognized through non-monetary appreciation programs.
Additionally, peer nominations require validation with the IS, which further makes the process cumbersome and time-consuming. Limiting the nomination criteria will help maintain the integrity of the program and streamline the approval process.</t>
  </si>
  <si>
    <t>Please find below our understanding and solution for each query:
1. Basket Nomination
Current Understanding:
The client currently has awards that are being used for both individual and team nominations. Due to this setup, if a nomination includes multiple individuals and the approver wishes to reject only one nominee, they are forced to reject the entire nomination.
Proposed Solution:
Our platform allows flexibility in configuring award types. The client should be advised to create separate award categories for Individual and Team nominations. Clear policy guidelines should also be established to ensure:
Individual awards are used only for single-employee recognition.
Team awards are used exclusively for group achievements.
2. Duplicate Nomination
Current Understanding:
An individual can currently be nominated multiple times, which may lead to duplicate nominations for the same employee within a short timeframe.
Proposed Solution:
Certain validations and governance rules can be implemented by the Tech Ops team to restrict duplicate nominations. For example, a rule can be configured to prevent an individual from being nominated more than once within a month.
These rules must first be defined by the client, after which our team will review and confirm technical feasibility.
Please note that duplicate nominations cannot be restricted for Panel Awards.
3. Nomination Criteria
Current Understanding:
The client would like to maintain exclusivity for certain awards by restricting self-nominations and limiting nomination rights to specific employee grade groups.
Proposed Solution:
This requirement can be managed using the Advanced Filters option available on the dashboard. The filters can be configured based on the attributes available in the Employee Details Table (e.g., grade level, role, department) to control nomination eligibility and permissions.</t>
  </si>
  <si>
    <t>Ankit Mehta and Nashreen Akhtar</t>
  </si>
  <si>
    <t>What reports are available on points (issued, redeemed, expired, breakage)?</t>
  </si>
  <si>
    <t>How do you present results to stakeholders to demonstrate ROI and program effectiveness?</t>
  </si>
  <si>
    <t>Solution request 8579::Update default error message for WIPRO</t>
  </si>
  <si>
    <t>error message update</t>
  </si>
  <si>
    <t>Update default error message</t>
  </si>
  <si>
    <t>wipro</t>
  </si>
  <si>
    <t>When a Nominator initiates a group or single-user nomination, the system must validate the selected award and denomination against the configured points rules. Upon clicking "Next," in addition to existing checks, a points validation is triggered. If any validation fails, the system will display a clear and specific error message, and the Nominator must resolve the issue by either removing the affected user(s) or adjusting the points. The nomination cannot proceed until all validation errors are resolved. This validation logic is a global change and applies consistently across all clients and users on the platform.</t>
  </si>
  <si>
    <t>60</t>
  </si>
  <si>
    <t>error message</t>
  </si>
  <si>
    <t>nitika</t>
  </si>
  <si>
    <t>important</t>
  </si>
  <si>
    <t>Solution Request 223219 White Rivers Media</t>
  </si>
  <si>
    <t>We have received two new requirements from our newly onboarded client, White Rivers Media.
Please find the details below:
Inclusion of a “Share Your Thoughts” message in the WhatsApp notifications to encourage greater user participation.
Clarification on whether the WhatsApp sender name can be customized to reflect either the company name (WRM) or the program name (ShineOn).</t>
  </si>
  <si>
    <t>Our understanding: The client would like to send a “Share Your Thought” notification to users via WhatsApp to increase user participation. Additionally, the client prefers that the sender name displayed to users be either the company name (WRM) or the program name (ShineOn) instead of Vantage Circle.
Considerations: While we already have an integration in place with WhatsApp for transactional messaging, implementing this request will require additional development effort and cost to incorporate this specific use case into the existing WhatsApp messaging flow.
Further, sending messages via WhatsApp requires approval of templates. Based on our previous experience, WhatsApp typically prioritizes transactional communications, and engagement-driven messages such as “Share Your Thought” may face rejection during the template approval process.
From a cost perspective, WhatsApp messaging also incurs a recurring per-message cost. This cost will be factored into the per-user fee paid by the client after calculating the average messaging cost per user, along with the additional development cost.
Recommendation: Considering the potential template approval limitations and the associated costs, we recommend that the client encourage users to install the mobile application through either monetary or non-monetary campaigns.
Once the user base has installed the application, Push Notifications and Bell Notifications can be effectively leveraged to prompt users to share their thoughts and increase overall participation.</t>
  </si>
  <si>
    <t>144000</t>
  </si>
  <si>
    <t>120000</t>
  </si>
  <si>
    <t>WhatsApp Notification and Sender Name</t>
  </si>
  <si>
    <t>These are high-priority items, as we have been receiving low NPS scores from the client. Addressing this will be critical in improving their overall experience and raising the benchmark.</t>
  </si>
  <si>
    <t>Solution Request::164161::Customization of First Trigger Email to Users for Service Year Book-Wipro</t>
  </si>
  <si>
    <t>This is regarding the customisation of the first email that gets triggered to user for SY for Wipro.</t>
  </si>
  <si>
    <t>For Service Yearbook, the first email is sent to the user 28 days prior to their service anniversary, copying the RM. In that email, the following line is currently mentioned:
“In case you don’t wish to receive your service yearbook, go to the ‘Edit Profile’ section in your profile and uncheck the box that says ‘Show my anniversary on social feed’.”
The client has requested to update this line with the detailed navigation steps as below:
“In case you don’t wish to receive your service yearbook, go to the profile icon at the top right corner &gt; select View Profile &gt; select My Account Preference &gt; uncheck the box that says ‘Activate Service Yearbook and Work Anniversary communication on the feed in the platform'."</t>
  </si>
  <si>
    <t>A Jira ticket VC-13981 is created for Gayatri to do the same.</t>
  </si>
  <si>
    <t>https://vantagecircle.sharepoint.com/sites/Solutions/Shared%20Documents/Apps/Microsoft%20Forms/Solution%20Request%20Form/Question/Screenshot%202025-11-04%20at%203.21.23%20PM_Acme%2018.png</t>
  </si>
  <si>
    <t>SY</t>
  </si>
  <si>
    <t>To ensure users can easily locate and modify their preferences for receiving Service Yearbook communications by providing precise, updated steps in the mailer.</t>
  </si>
  <si>
    <t>Wipro-governance policies</t>
  </si>
  <si>
    <t>Wipro Governance</t>
  </si>
  <si>
    <t xml:space="preserve">VC to evaluate the feasibility of excluding Grade Groups D and E from the related email communication. This will require configuration changes at the grade level.
Indu has raised two additional requests:
To introduce a tracking mechanism in the system to identify employees who repeatedly fall under repetitive or reciprocated nomination cases.
To display a general advisory message on the platform encouraging mindful and appropriate utilization of the R&amp;R program.
</t>
  </si>
  <si>
    <t>We have respond Wipro’s governance queries by confirming feasibility and effort estimates to exclude Grade Groups D and E from specific email communications, while noting dependency on tech team availability. It clarifies that there is no system-level tracking for repetitive or reciprocated nominations, but this can be analyzed via reports, and proposes using the Hero Banner to display a general advisory message. Action required: Confirmation on any additional grade groups to be excluded and alignment on proceeding once tech bandwidth is available.</t>
  </si>
  <si>
    <t>2.5 L</t>
  </si>
  <si>
    <t>urgent</t>
  </si>
  <si>
    <t>Query on Reminder Mail Interval to Budget Holders and Template Customization for AM Green Energy</t>
  </si>
  <si>
    <t>Engagement &amp; Communication Features-
1)Fortnight mailers on spreading awareness about the portal – auto trigger, creative repository to be designed by VC and approved by AMG.
2)Notifications through email/app during the month, during festivals or events like gratitude day, thanksgiving, etc.</t>
  </si>
  <si>
    <t xml:space="preserve">Engagement &amp; Communication Features-
1)Fortnight mailers on spreading awareness about the portal – auto trigger, creative repository to be designed by VC and approved by AMG.
2)Notifications through email/app during the month, during festivals or events like gratitude day, thanksgiving, etc.
</t>
  </si>
  <si>
    <t xml:space="preserve">AM Green Energy </t>
  </si>
  <si>
    <t>Regarding point 2,Campaign is the solution.
Regarding point 1, awareness emails cannot be built, stored and triggered from the system in an automated scheduler method. This needs to be handled offline by the client's hr team.
Probably VC team can help building creatives or design a mail theme.</t>
  </si>
  <si>
    <t>New Delhi</t>
  </si>
  <si>
    <t>INR 1,92,000 per annum</t>
  </si>
  <si>
    <t>Engagement &amp; Communication Features</t>
  </si>
  <si>
    <t>During Sales, these requirement were signed on a Scope Of Services Doc and so they need it now.</t>
  </si>
  <si>
    <t>Solution request 193190::Month drop down during the monetary award nomination window in the business justification section</t>
  </si>
  <si>
    <t>Month drop down during the monetary award nomination window in th business justification section</t>
  </si>
  <si>
    <t>The client has a requirement to select the time period of the award while giving our monetary award. The client has monthly awards. which are processed on a quarterly basis. For e.g Award for Oct, Nov, and Dec (3 awards for 3 months (1 for each month) is given by the Nominator once in a quarter. so approver required a clarity on the award nominations. Already informed client this is currently not feasible. &amp; they can use text box as an option to enter the month. However client is not ok with this. Can you check the feasibility of this? Additionally, this feature can be explored to meet the requirement of client like Bluestar to auto-populate the month/period of the award in the certificate.</t>
  </si>
  <si>
    <t>WPP MEDIA GOC</t>
  </si>
  <si>
    <t>gurgaon</t>
  </si>
  <si>
    <t>37 rs per employee per month</t>
  </si>
  <si>
    <t>20 lakhs</t>
  </si>
  <si>
    <t xml:space="preserve">Solution Request 7771 typical gift value or point range </t>
  </si>
  <si>
    <t>What is the typical gift value or point range available?</t>
  </si>
  <si>
    <t>We received an RFP from Xactly where this question was asked by the prospect.</t>
  </si>
  <si>
    <t>Xactly</t>
  </si>
  <si>
    <t>Gift values and point ranges vary based on reward type and client configuration. Monetary gift cards and merchandise typically start at $5 (or the local currency equivalent) and can exceed $1,000. Points-based rewards are fully customizable by the client, with common configurations ranging from 0 to over 100,000 points, usually mapped to local currency or SOLI-adjusted equivalents. Experiential and premium rewards are available upon specific company requests. Award values are also client-specific, defined in fixed denominations and mapped to local currencies for each country.</t>
  </si>
  <si>
    <t>Redemption Query</t>
  </si>
  <si>
    <t>Solution Request 10598::Custom Data Visibility Control Based on User Role Attributes (Country, Department, Legal Entity)</t>
  </si>
  <si>
    <t>Custom Data Visibility Control Based on User Role Attributes (Country, Department, Legal Entity)</t>
  </si>
  <si>
    <t>The client has requested enhancements in the platform’s user role structure to enable data visibility restrictions based on country, department, and legal entity.
Currently, the HR Admin role is defined at the department level, allowing visibility of data across all countries for that department. However, the client needs to restrict access further:
Country-specific HR managers should only see data related to their own country and not across other countries.
Leaders and managers should have access limited to specific combinations of country and department.
Key actions requested:
Introduce or configure user roles with granular access control, where visibility can be filtered by country, department, and legal entity.
Explore the possibility of either customizing existing user roles or implementing a new role matrix to meet this requirement.
Share if there are any alternative solutions or planned developments that could help address these visibility constraints.</t>
  </si>
  <si>
    <t>YNV Group</t>
  </si>
  <si>
    <t>The Product Team is already working on enhancing roles and permissions within the dashboard, and similar considerations are being made for report access and visibility to align with the requirements.
@Nayan Bhuyan – Requesting your support in looking into this.</t>
  </si>
  <si>
    <t>Cyprus</t>
  </si>
  <si>
    <t>8622 Euro per Quarter</t>
  </si>
  <si>
    <t xml:space="preserve">Only </t>
  </si>
  <si>
    <t>HRADMIN Access</t>
  </si>
  <si>
    <t>High Priority – The requirement directly impacts the platform’s data governance and confidentiality policies across countries. Limiting visibility based on geography and departments is crucial for compliance and to ensure appropriate access levels for HR and leadership teams.</t>
  </si>
  <si>
    <t>Solution Request::108101::Customisation in the workflow, queries related to the Dashboard.</t>
  </si>
  <si>
    <t>Customisation in the workflow, queris related to the Dashboard.</t>
  </si>
  <si>
    <t>https://vantagecircle-my.sharepoint.com/:x:/p/aditi_sharma/ESzJGw4aYo1GmJZVTbYr0hsBdQVo0RDZ15J0O1sgCV63YQ?e=QBMp8J</t>
  </si>
  <si>
    <t>Yokogawa</t>
  </si>
  <si>
    <t>Comments from Solutions team is added in the 'Additional Comments' column of the Excel sheet linked in the description column</t>
  </si>
  <si>
    <t>4000</t>
  </si>
  <si>
    <t>Solution Request 231227 Tata Motors Dual Budget Display</t>
  </si>
  <si>
    <t>need to display multiple wallet view for Tata Motors</t>
  </si>
  <si>
    <t>senior leaders in Tata motors have 2 budget wallets however currently we can only show 1 wallet in the front end so there's a requirement to showcase mulitiple wallet in front end. 
Also, to achieve the multiple wallet configuration we have right now configured dummy users. This is a stop gap arrangement &amp; not a long term solution. Request you to look into this.</t>
  </si>
  <si>
    <t>Our understanding: Senior leaders at TML have two budgets, with the second budget currently managed through a dummy account. At present, users can only view the summary of their primary budget in their profile. They would like the secondary budget to also be visible on the platform.
Solution: We will discuss this with the tech team and explore feasible options. We will keep you updated on the next steps.
Meanwhile, could you elaborate if this other budget is specific to certain departments, or if these senior leaders each have their own secondary budget?
We connected with Tech on this, and the team confirmed that this will need an architectural change in how we handle budget. Hence, this request has been passed on to @Product Vantagecircle.
@Armaan Siddique is evaluating the scenarios we presented based on requirements from Tata and BOSCH.
FYI @Nayan Bhuyan.</t>
  </si>
  <si>
    <t>Solution Request 232228 QX Global</t>
  </si>
  <si>
    <t>Customisation in the award workflow</t>
  </si>
  <si>
    <t>1. Moderator functionality to approve, reject, or block content containing profanity, whether in English or any regional language. In hashtags and asterisk marks also.
2. The Monthly and Spot Awards will be held until the end of the month and disbursed in bulk on the last Friday of each month, or on a customizable date.
For example, if the last Friday falls on a holiday, there should be flexibility to modify and select an alternative date accordingly.
3. Similar to point number 2, once the panel voting is completed, all online postings should be scheduled for the end of the month. Points allocation and notifications should also be triggered on the same day.
Additionally, all awards should be disbursed in a single batch rather than individually, avoiding multiple clicks for multiple awards. This is important as the intent is to celebrate the awards offline first and then announce them online. Can this be automated?
4. Profanity filtering mechanism for regional languages also. </t>
  </si>
  <si>
    <t>QX GLOBAL</t>
  </si>
  <si>
    <t>AI Detection of foul language/profanity in recognition messages, including regional languages. Answer: The AI recognition guide, currently being enhanced by the Product Team, will be able to detect foul language and profanity. Expected to be completed by Q1 FY 26-27.
Moderator facility to reject or block such content. Answer: Moderation is not currently available and is not on the immediate roadmap. However, as a workaround, an additional HR approval layer can be introduced for awards only to enable manual review before publishing.
One click bulk award publication for monthly R&amp;R programs at the end of the Month or designated date. Answer: By default, auto-approved awards are published instantly. If the organization prefers scheduled publishing (e.g., end of the month), this can be managed by introducing an HR approval step. The approver can then use the bulk approval feature to publish all awards at once.
Panel award announcement and associated point allocation, notification to go out on the day decided by the client. Answer: Panel award announcements are triggered only after the Winner Selector finalizes the winners. The selection timeline can be configured to align with the organization’s preferred announcement date.
All Panel awards to be disbursed in a single batch, instead of separate awards. Answer: Panel awards require manual confirmation by the Winner Selector. As such, awards cannot be automatically disbursed in a single batch and must be processed individually.
Two-way HRIS capability. Answer: Currently, the platform primarily consumes employee data shared by the client for program execution. Two-way integration can be explored based on technical feasibility and will be confirmed by our Tech team.
Budget allocation automation by Manager, Grade, Reportees and BU. Answer: The platform supports automated budget allocation based on multiple parameters, including country, allocation frequency, designation, grade, department, and number of reportees.
Native language filtering capability. Answer: Need more clarity on the ask.</t>
  </si>
  <si>
    <t>https://vantagecircle.sharepoint.com/sites/Solutions/_layouts/15/Doc.aspx?sourcedoc=%7B4BABB3DB-14C6-4CD6-B2B1-ED7AC7C90578%7D&amp;file=Client%20Requirement%20(1)_Aditi%20Sharma.xlsx&amp;action=default&amp;mobileredirect=true</t>
  </si>
  <si>
    <t>INDIA/US</t>
  </si>
  <si>
    <t>20,00,000</t>
  </si>
  <si>
    <t>ADITI</t>
  </si>
  <si>
    <t>Submitted on Friday</t>
  </si>
  <si>
    <t xml:space="preserve">We are currently working on a perks-focused RFP for ESP Global Services. The client has requested detailed technical, product, and implementation-related information to evaluate our platform capabilities. I’ve outlined four key questions below, along with guidance on what the client is likely expecting in each case. We don't need lengthy responses, any content you can provide that will help structure a response will be helpful. </t>
  </si>
  <si>
    <t>a. Client needs our full technical specification document for:
- System performance
- Supported devices + OS versions
- Supported browsers
- Latency standards
This can be shared as an image, no explanation is required.
b. Perks platform road map for the next 12–24 months, including committed deliverables. 
c. Any past implementations comparable to: 
- Scale
- Countries
- Timeframe
- Technical complexity
D. Case studies - Any perks-specific or related case studies that we could share? If yes, it would be great if you could send them across.</t>
  </si>
  <si>
    <t xml:space="preserve">ESP Global Services </t>
  </si>
  <si>
    <t>This is an ongoing RFP. If you can let me know by Wednesday, it will give me time to work on the responses.</t>
  </si>
  <si>
    <t>234230 : Solution Request : Tejas Networks &lt;&gt; Requirements</t>
  </si>
  <si>
    <t>1. The To-Do List for the Approvers should reflect the count of pending tasks 
2. When we add any image in the "Add image" section, the approver is unable to view the image. Can a download button be added similar to Business Justification so that the approver can review the image that has been added by the nominator.
3. When a user clicks on the bell notification the menu in the header section changes to Gift Cards, Milestone, Merchandise and Order History. Can this be changed to the home menu?</t>
  </si>
  <si>
    <t>1. The Approvers are mostly from the leadership team, Hence to keep a track of the pending items a count of pending tasks should be reflected in the To-Do List
2. If the nominator adds something that is proof of work or any other image and it will show up at the org level feed which might not sit well. Since we have a approver to review the nomination, the approver should have the visibility of the image that has been added
3. The change in the header section of the menu should be placed in the cart or wallet section instead of the bell notifications</t>
  </si>
  <si>
    <t>1. Alternate Solution : Enable reminder email notifications to the approvers. If the nomination remains pending, reminder emails can be scheduled based on the client’s configuration. This can also be communicated as a better way of letting the users with approval rights know they have pending nominations to take action on at regular interval, the emails helps bringing the user to the platform and hence have better conversation ratio in terms of inducing the approvals. 
2. In Development stage
3. Subheader removed from Bell Notification</t>
  </si>
  <si>
    <t>2300 approx</t>
  </si>
  <si>
    <t>27600 per month</t>
  </si>
  <si>
    <t>Not shared</t>
  </si>
  <si>
    <t>To Do List, Add Image, Menu section</t>
  </si>
  <si>
    <t>No such customizations</t>
  </si>
  <si>
    <t>Riki Chetia, Kaushik Bhuyan</t>
  </si>
  <si>
    <t>This is an upsell client form Redemption to Recognition and wants to go live as soon as possible.</t>
  </si>
  <si>
    <t>Kongkana</t>
  </si>
  <si>
    <t xml:space="preserve">AM Green Energy- To enable Request Budget Notification to Super Admin in the platform </t>
  </si>
  <si>
    <t>One of our clients, AM Green Energy, has requested that budget request notifications be enabled for the Super Admin in the portal’s bell icon. Currently, budget request notifications are sent via email to the Super Admin but are not reflected in the portal notifications.</t>
  </si>
  <si>
    <t>AM Green Energy</t>
  </si>
  <si>
    <t xml:space="preserve">enabling actionable budget request notifications for Super Admins via the portal bell icon is not feasible due to platform security and authentication constraints, as direct redirection to the Admin dashboard would bypass required login controls. A display‑only notification was also ruled out, as it would result in a broken or misleading user experience and be treated as a product bug. </t>
  </si>
  <si>
    <t>Request Budget Notification in the platform</t>
  </si>
  <si>
    <t>This is a requirement, which will help going forward for other client as well</t>
  </si>
  <si>
    <t>Novel Jewels (Comp id 1894) Requirement is that for one of the awards - GeM Individual and Team, there should be an option to get the previous quarter's date reflecting in the certificate</t>
  </si>
  <si>
    <t xml:space="preserve">As per their process, nominations for Gem - Individual and Gem - Team are raised after the completion of the performance quarter. Accordingly, nominations in April 2026 will pertain to the quarter January–March 2026. However, the certificate currently reflects the nomination date.  
We require a configuration change so that the certificate reflects the relevant performance quarter instead of the nomination date. For example, a nomination raised in January 2026 should display Q3 2025 (October–December 2025) on the certificate. </t>
  </si>
  <si>
    <t>180000/yr</t>
  </si>
  <si>
    <t>NA (new client)</t>
  </si>
  <si>
    <t>Certificate additions</t>
  </si>
  <si>
    <t>Sahin Ahmed</t>
  </si>
  <si>
    <t>Must have</t>
  </si>
  <si>
    <t>Enabling the bell notification for 2nd level approval</t>
  </si>
  <si>
    <t>Currently, we observe that for the 1st level approver, both email and bell notifications are enabled. However, for the 2nd level approver, only email notifications are available, and the bell notification is not enabled.
Ideally, when a 2nd level approver logs into the platform, they should be able to see a bell notification indicating that a new nomination is pending for their approval. This is important because they may not check the "To-Do" list every time they log in.</t>
  </si>
  <si>
    <t>1,92,000 annum</t>
  </si>
  <si>
    <t>when a 2nd level approver logs into the platform, they should be able to see a bell notification indicating that a new nomination is pending for their approval. This is important because they may not check the "To-Do" list every time they log in.</t>
  </si>
  <si>
    <t>Automation of SPOT of the month award (Standard Award)- Tata Play</t>
  </si>
  <si>
    <t>Currently, for Tata Play, users directly nominate colleagues for the SPOT Award through the platform. In the subsequent month, the SPOT Award winners need to be considered for the “SPOT of the Month” award.
At present, this process requires significant manual intervention. The Vantage Circle team logs into the BigStage@tataplay.com admin account and manually performs the following steps each month:
Access the list of SPOT Award winners from the previous month.
Select each winner individually.
Choose the SPOT of the Month award.
Enter the citation message along with nominator details in the required format.
Submit the nomination for approval.
We would like to request a product enhancement to automate this workflow. The client already has a similar automated process in place for Panel Awards – Progressive Panel Award, where winners of SPOT of the Month are automatically nominated by the system. Implementing a similar automation for the SPOT to SPOT of the Month workflow will significantly reduce manual effort, ensure consistency, and improve operational efficiency.
Also, we c an connect for a call to discuss on the way forward. Kindly suggest.
Ticket reference- https://vantagecirclejira.atlassian.net/browse/VC-14562</t>
  </si>
  <si>
    <t>Tata Play</t>
  </si>
  <si>
    <t>745200 Yearly as per Rs.27 PEPM</t>
  </si>
  <si>
    <t xml:space="preserve">9 lakhs </t>
  </si>
  <si>
    <t>Progressive Standard Award</t>
  </si>
  <si>
    <t>Shibani and Prachir</t>
  </si>
  <si>
    <t>Daily reward budget allocation to every employee with same-day expiry (no accumulation)</t>
  </si>
  <si>
    <t>The client requires a change in the reward points allocation mechanism. Instead of allocating points to givers on a monthly basis, they want points to be credited to every employee daily to their reward budget.
Key requirements:
Points should be allocated daily to each employee
Points must lapse if not used on the same day
No accumulation or carry-forward of unused points
System should enforce expiry automatically at end of day</t>
  </si>
  <si>
    <t>Nadhashri HS</t>
  </si>
  <si>
    <t>₹18,000</t>
  </si>
  <si>
    <t xml:space="preserve">Daily reward budget points allocation with same day expiry </t>
  </si>
  <si>
    <t xml:space="preserve">High – The client has expressed a clear preference to start with the daily credit model and is evaluating vendors offering similar capabilities. This requirement is critical to align with their expected program design and is influencing their decision-making to choose a vendor. The client cleary mentioned that this will be a deal breaker. </t>
  </si>
  <si>
    <t>Request to Display Current Approver Instead of Final Approver in Awards Given Tab</t>
  </si>
  <si>
    <t>Based on the findings shared by our Technical Operations team, the current setup displays the final approver under the Awards Given tab. However, the client has requested that we explore the possibility of displaying the current approver instead of the final approver in multi-level approval scenarios, as the existing setup is causing confusion for nominators. Request you to check the feasibility for the same.</t>
  </si>
  <si>
    <t>The column currently labeled as “Pending Since” is actually reflecting the Nomination Date, and hence the name is incorrect.So,Preetma will change the label from “Pending Since” to "Nomination Date"and Awards to AWARD &amp; Title to AWARD NAME.</t>
  </si>
  <si>
    <t>https://vantagecircle.sharepoint.com/sites/Solutions/Shared%20Documents/Apps/Microsoft%20Forms/Solution%20Request%20Form/Question/image009%20(1)_Debraj%20Gogoi.png; https://vantagecircle.sharepoint.com/sites/Solutions/Shared%20Documents/Apps/Microsoft%20Forms/Solution%20Request%20Form/Question/image010_Debraj%20Gogoi.png</t>
  </si>
  <si>
    <t>1100</t>
  </si>
  <si>
    <t>3,60,000 per annum</t>
  </si>
  <si>
    <t>40 lacs per annum</t>
  </si>
  <si>
    <t>Current Approver to be displayed rather than the final approver</t>
  </si>
  <si>
    <t>High priority: The client currently has only one monetary award on the frontend that involves multi-level approval, while all other monetary awards are managed via CSV. There have been instances where first-level approvers do not act on nominations within the expected timelines, prompting nominators to reach out but not to the correct approver but the final one. This is causing delays in the overall process, along with confusion among nominators.</t>
  </si>
  <si>
    <t>Client wants to change the terminology from Post to Submit while nominating a colleague.</t>
  </si>
  <si>
    <t>BDO Rise</t>
  </si>
  <si>
    <t>https://vantagecircle.sharepoint.com/sites/Solutions/Shared%20Documents/Apps/Microsoft%20Forms/Solution%20Request%20Form/Question/image001%20(44)_Debraj%20Gogoi.png</t>
  </si>
  <si>
    <t>13 lacs 50 thousand</t>
  </si>
  <si>
    <t>90 lacs</t>
  </si>
  <si>
    <t>Post button</t>
  </si>
  <si>
    <t xml:space="preserve">High - We are trying to onboard BDO USA in this financial year. It is quite critical for us to keep the client satisfied to the extent we can. </t>
  </si>
  <si>
    <t>Requirement Discussion: Progressive Panel Award Workflow</t>
  </si>
  <si>
    <t>Requirement Summary:
Client requires configuration of a Progressive Panel Award. In the standard workflow, a nominator submits a nomination and the nominee’s Head of Department approves/declines, with nominators allowed to nominate only cross-functional team members.
For the Progressive Panel Award, the requirement is that the winner of the previous award cycle is auto-nominated for the panel award. Additionally, panel voters should not be able to view nominations from their own department (i.e., voters can only view nominations from other departments).
Query:
Please confirm feasibility of this setup and suggest any alternate approaches that could achieve similar functionality if direct configuration is not possible.</t>
  </si>
  <si>
    <t xml:space="preserve">I would like to bring up a requirement from a new client regarding a Progressive Panel Award and seek your inputs on the feasibility and any possible alternate approaches.
Currently, the workflow for the standard award is as follows: the nominator submits a nomination, and the nominee’s Head of Department reviews and either approves or declines the nomination. Additionally, one of the nomination criteria is that nominators are allowed to nominate only employees from cross-functional teams.
For the Progressive Panel Award, the client’s requirement is that the winner of the previous award cycle should be auto-nominated for the subsequent panel award. However, there is an added condition that panel voters should not be able to view nominations from their own department. In other words, panel members should only be able to view and vote on nominations belonging to departments other than their own.
Could you please review this requirement and share your thoughts on the feasibility of configuring this workflow? Additionally, it would be helpful if you could suggest any alternate approaches that could achieve a similar outcome, in case the above setup is not directly feasible.
</t>
  </si>
  <si>
    <t>Servier Les Lab</t>
  </si>
  <si>
    <t>Our Understanding: The client wants to configure Progressive Panel Awards with the following conditions:
For the First award, only cross-department nominations should be allowed. 
Approval should go to the Nominee's HOD. 
Winners should be directly nominated for the Panel Award.
Panel Voters should not receive nominations from their own department.
We will discuss this with the concerned teams and get back to you.</t>
  </si>
  <si>
    <t>₹410400</t>
  </si>
  <si>
    <t>0.5 Cr</t>
  </si>
  <si>
    <t>Progressive Panel Award</t>
  </si>
  <si>
    <t>Simanta</t>
  </si>
  <si>
    <t>This requirement is critical to the client’s award workflow, as the Progressive Panel Award is dependent on the outcome of the previous award cycle and requires specific visibility restrictions for panel voters. The auto-nomination of previous winners and the department-based visibility logic are key functional expectations defined by the client for maintaining fairness and confidentiality in the evaluation process.
Since this configuration impacts the design of the award workflow and panel voting structure, early confirmation on feasibility or alternate solutions is necessary to proceed with the overall award setup and to avoid delays in the project timeline.</t>
  </si>
  <si>
    <t>Improving Nomination Clarity with Mandatory Citation Length - ITC Hotels</t>
  </si>
  <si>
    <t>The client, ITC Hotels, has requested a new enhancement to enforce a minimum of 50 characters in the citation message. This requirement is intended to address the current trend of nominators submitting brief phrases such as “good job” or “excellent work,” which lack sufficient detail. As a result, the POC faces challenges in presenting meaningful reports to the leadership team with proper justification for each nomination. Due to the high volume of nominations, nominators are often unable to adequately justify a submission when asked about it a few months later. Please check the feasibility and let us know.</t>
  </si>
  <si>
    <t xml:space="preserve">Implementing a minimum character validation would require product-level customization, which may not align well with broader platform considerations across clients.
We propose updating the placeholder text to the following:
“Please add a recognition message of at least 50 characters. This will also appear on the feed if shared.”
Also, Recognition Guide has been suggested to be enabled </t>
  </si>
  <si>
    <t>7500</t>
  </si>
  <si>
    <t>1125000</t>
  </si>
  <si>
    <t>Mandatory Citation Length</t>
  </si>
  <si>
    <t>https://vantagecirclejira.atlassian.net/browse/VC-15858</t>
  </si>
  <si>
    <t>Solution request244240::Request to Update VC Platform Theme – World Safety Day</t>
  </si>
  <si>
    <t>Platform theme customization request for World Day for Safety and Health at Work (28 April 2026)</t>
  </si>
  <si>
    <t>The client has requested to update the platform theme to align with the upcoming World Day for Safety and Health at Work on 28 April 2026.
This would involve temporarily modifying the platform’s visual elements(such as banners, colors, communication creatives, and/or introducing pop-ups or animations) to reflect the safety theme and enhance contextual user engagement.</t>
  </si>
  <si>
    <t>Wasael Property Management</t>
  </si>
  <si>
    <t>630</t>
  </si>
  <si>
    <t>AED 7 per emp per month</t>
  </si>
  <si>
    <t>Platform Theme Customization / Event-Based UI Branding</t>
  </si>
  <si>
    <t>priyakshi.hazarika@vantagecircle.com, nitika.anand@vantagecircle.com</t>
  </si>
  <si>
    <t>The request is time-sensitive as it is aligned with a global event scheduled for 28 April 2026. Timely implementation is critical to ensure relevance and client satisfaction. Delays may result in missed engagement opportunity.</t>
  </si>
  <si>
    <t>Solution request245241 ::Function-wise R&amp;R with restricted visibility and participation controls</t>
  </si>
  <si>
    <t>Function-wise R&amp;R with restricted visibility and participation controls</t>
  </si>
  <si>
    <t>Description
The client wants the ability to run two types of R&amp;R programs in parallel within the platform, with clear control over visibility and participation.
Let’s assume an organization has two functions:
* Sales
* Manufacturing
---
Scenario 1: Organization-wide R&amp;R
The company launches an award like “Employee of the Quarter.”
 The award is visible to all employees across the organization
  All employees can:
   Participate and nominate others
   View the award in the platform (when it gets posted in the feed)
---
Scenario 2: Function-wise R&amp;R (Sales Only)
The company launches an award like “Sales Champion.”
 The award is visible only to the Sales team
 Only Sales team members can:
   Participate and nominate others
   View the award in the platform (when it gets posted in the feed)
---
What this means
 An employee from Manufacturing:
  Cannot see the “Sales Champion” award in their feed or anywhere on the platform
  Cannot participate or nominate in this program
Similarly, Sales employees will not have visibility or access to function-specific R&amp;R programs created for other teams.</t>
  </si>
  <si>
    <t>Aditya Birla Retail/Mohit Giri</t>
  </si>
  <si>
    <t>Function-Based R&amp;R Access Control</t>
  </si>
  <si>
    <t>rizwan.zia@vantagecircle.com</t>
  </si>
  <si>
    <t>Rizwan Zia</t>
  </si>
  <si>
    <t xml:space="preserve">TCS - Taj Experiences Work Flow </t>
  </si>
  <si>
    <t>Create a work flow and a better approach for end to end process flow for the TCS managers &amp; employees as per the attached workflow document shared by the client</t>
  </si>
  <si>
    <t>https://vantagecircle.sharepoint.com/sites/Solutions/_layouts/15/Doc.aspx?sourcedoc=%7B3CB1E0D3-CD7C-4EAD-9AD4-F35E3451CEBB%7D&amp;file=Taj%20Experience%20Approach_Rizwan%20Zia.docx&amp;action=default&amp;mobileredirect=true</t>
  </si>
  <si>
    <t>580000</t>
  </si>
  <si>
    <t>Yet to be decided</t>
  </si>
  <si>
    <t>Taj Experiences</t>
  </si>
  <si>
    <t>Urgent as the TCS team needs a solution before end of this week</t>
  </si>
  <si>
    <t>Award Specific Business Justification Box</t>
  </si>
  <si>
    <t>Could we please look into the requirement of having Award-Specific Business Justification boxes? We have received this request for both Panel and Standard Awards. As per the current configuration, enabling multiple Business Justification boxes is an organization-specific feature.</t>
  </si>
  <si>
    <t>Servier, Haworth</t>
  </si>
  <si>
    <t>500-2000</t>
  </si>
  <si>
    <t>UAE &amp; India (Resp.)</t>
  </si>
  <si>
    <t>INR 25000-50000/month</t>
  </si>
  <si>
    <t>prachir.barkakati@vantagecircle.com</t>
  </si>
  <si>
    <t>Prachir Barkakati</t>
  </si>
  <si>
    <t xml:space="preserve">AM Green requirement </t>
  </si>
  <si>
    <t xml:space="preserve">I am reaching out to seek your assistance regarding a requirement from our new client, AM Green (company ID: 1895). They have requested an automation feature that would enable fortnightly communication to users, aimed at driving awareness and improving platform engagement.
The intent is to circulate informative content covering key aspects such as:
Overview of available monetary awards with brief descriptions
Details of non-monetary awards
Highlights of Vantage perks and benefits (I believe for this we can enable the automated perks emailer separately)
Guidance on features like sharing wishes for Work Anniversaries, etc.
</t>
  </si>
  <si>
    <t xml:space="preserve">The client requires an automation automation feature that would enable fortnightly communication to users, aimed at driving awareness and improving platform engagement. 
</t>
  </si>
  <si>
    <t>Arcellor Mittal Green (Company ID: 1895)</t>
  </si>
  <si>
    <t>1. Vantage perks can be promoted using the existing automated perks emailer
2. Awareness around monetary, non-monetary awards, work anniversary wishes can be driven via in-platform announcements/banners, directing users to relevant sections
3. Where required, existing campaign capabilities can be used with standard templates to maintain a periodic communication cadence</t>
  </si>
  <si>
    <t>16000 per month</t>
  </si>
  <si>
    <t xml:space="preserve">Fortnightly Automation Emailer </t>
  </si>
  <si>
    <t>Prachir and Shibani</t>
  </si>
  <si>
    <t xml:space="preserve">The client requires an automation automation feature that would enable fortnightly communication to users, aimed at driving awareness and improving platform engagement. </t>
  </si>
  <si>
    <t>AM Green Energy - Request for Watermark in Comment Box for Winner Selector</t>
  </si>
  <si>
    <t>AM Green Energy has a requirement related to the winner selector comment box in panel awards. When the winner selector submits the winners, the comment box displayed at that stage is required to have a watermark configured, as the comment field cannot be made mandatory.
For example: “Please mention the 1st, 2nd &amp; 3rd position while submitting winners.”</t>
  </si>
  <si>
    <t>1,90,000 INR per annum</t>
  </si>
  <si>
    <t>Watermark in Winner Selector Comment Box</t>
  </si>
  <si>
    <t>As the comment box cannot be made mandatory, a watermark is required to remind the winner selector to mention the 1st, 2nd, and 3rd positions while submitting the winners.</t>
  </si>
  <si>
    <t>saurabh.deshpande@vantagecircle.com</t>
  </si>
  <si>
    <t>Saurabh Deshpande</t>
  </si>
  <si>
    <t>Replace multiple country wallets with single wallet for assigned budget holders</t>
  </si>
  <si>
    <t>For Les Lab Servier (new client in ME), they have ~150 employees across UAE, Saudi, Bahrain etc. and total R&amp;R budget is just AED 57k (USD 15k). There are 11 assigned budget holders who will be using the budget for boosting nominations. Note that all nominations are zero value, so Boost is how monetary value is added to worthy nominations. As such, the total budget being allocated among 11 budget holders for Boost is just AED 20,000 whereas the value of each Boost will be AED 250. Hence, some budget holders are getting budgets as small as AED 500, AED 1,000 etc. 
While the bulk of the team is based in UAE, some budget holders will have 1-3 team members in Saudi, Bahrain etc. If we have separate country wallets for each of these cases, the budget loaded onto these country wallets will be too small to even allow a Boost.
Hence, we want to see if there is any workaround for the requirement of separate wallets for each country.
Attaching the detailed program design as FYI</t>
  </si>
  <si>
    <t>Les Lab Servier</t>
  </si>
  <si>
    <t>https://vantagecircle.sharepoint.com/sites/Solutions/_layouts/15/Doc.aspx?sourcedoc=%7B246C18BD-7D94-44E3-8455-B68D55684FE5%7D&amp;file=Servier%20ME_Program%20Design_Final_Post%20discussi_Saurabh%20Deshpande.pptx&amp;action=edit&amp;mobileredirect=true</t>
  </si>
  <si>
    <t>165</t>
  </si>
  <si>
    <t>AED 21.6k</t>
  </si>
  <si>
    <t>AED 50k</t>
  </si>
  <si>
    <t xml:space="preserve">High priority. While it is a small client, being in UAE, we are treating it as a strategic account. We just signed off on their program design (after a lot of to and fro over 3 months) and implementation needs to kick off soon. </t>
  </si>
  <si>
    <t>We have just received the Octapharma RFP. I’ve attached the RFP folder, which includes the RFP questionnaire and project details. ​Octapharma Plasma Reward Recognition Program​
This is an opportunity in the pharmaceutical sector and would be a strong logo for us to have, so we want to put our best foot forward in the response. I would really appreciate everyone’s support over the coming days. As we identify specific questions, I’ll route them to the respective teams for input.
For now, could everyone please skim through the RFP documents and flag any questions, concerns, or clarifications that stand out? We need to submit our clarification questions to the client by end of day on the 6th, so please send me any questions by then.</t>
  </si>
  <si>
    <t>Currently, there are no specific questions from our end. However, during your review, if you identify any questions that we should raise, please flag them.</t>
  </si>
  <si>
    <t>Octapharma</t>
  </si>
  <si>
    <t>https://vantagecircle.sharepoint.com/sites/Solutions/_layouts/15/Doc.aspx?sourcedoc=%7BF52C588E-F849-4165-B1E1-DCF737054C9E%7D&amp;file=Octapharma%20Plasma%20Reward%20Recognition%20Program_Prashansa%20Gokhale.xlsx&amp;action=default&amp;mobileredirect=true; https://vantagecircle.sharepoint.com/sites/Solutions/_layouts/15/Doc.aspx?sourcedoc=%7BCEB52EFA-2FD3-4DBB-9117-58D098C7F956%7D&amp;file=Vendor%20Briefing%20Overview_Prashansa%20Gokhale.docx&amp;action=default&amp;mobileredirect=true</t>
  </si>
  <si>
    <t>4,572 US employees</t>
  </si>
  <si>
    <t>Ron Duquette</t>
  </si>
  <si>
    <t>Since this is an ongoing RFP, we need to submit any clarification questions by May 6.</t>
  </si>
  <si>
    <t>Nominator identifier to be set to 2 parameters: Reporting Managers and Grade Group</t>
  </si>
  <si>
    <t xml:space="preserve">The client Servier for one of their award workflow has requested that the eligible nominators would be Reporting Managers (Individuals with team/s) and Functional Head (who are department heads). For functional heads, they have a unique identifiable grade group; however, for the reporting managers, not all of them fall under unique grade group. Additionally, they have a grade group that has a mixture of Reporting Managers and non-Reporting Managers. To address this, we have proposed a couple of approaches : 
- To pick up the functional head details in the additional info columns, but the client has highlighted HRMS integration issues
- To individually fill in the details of the eligible nominators in the award configuration via the dashboard. However, the client has highlighted that they want the award workflow in a way where functional heads can nominate other functional heads and reporting managers and reporting managers can nominate other reporting managers but not functional heads
We request your support in solutioning this requirement that can help us achieve the request while minimising manual maintenance. </t>
  </si>
  <si>
    <t>Servier</t>
  </si>
  <si>
    <t>190</t>
  </si>
  <si>
    <t>₹4,85,000</t>
  </si>
  <si>
    <t>~USD 20,000</t>
  </si>
  <si>
    <t xml:space="preserve">Nominator Identifiers </t>
  </si>
  <si>
    <t xml:space="preserve">The client’s requirement cannot be fulfilled using existing standard fields, as Reporting Managers are not consistently identifiable through a unique attribute, and some share grade groups with non-managers. Additionally, the nomination flow involves role-based restrictions (Functional Heads vs Reporting Managers) that require conditional logic beyond current configuration capabilities. Hence, support is needed to enable accurate eligibility mapping while minimizing manual intervention and dependency on unreliable data sources.
</t>
  </si>
  <si>
    <t>Feasibility and Approach for Monetary Recognition Requirement - Celebal Technologies</t>
  </si>
  <si>
    <t>We have received a new requirement from Celebal Technologies to be implemented on the existing platform. 
RNR Program Name: Champions Club
Step-1
Employee Claims Points using below from drop down which has predefined points. There should be attachments field for proof submission.
Client Appreciation (Formal recognition via email/NPS/callout) (Points 50 Per Client Appreciation) (Max 2 Per Month)
New Project Acquisition (without RFP / proactive conversion) (Points 100 Pre Deal)
Zero Escalation Delivery (over a defined period or Per Project) (Points 100 Allowed once Per Project)
Mentoring / Developing 5 Team Members (Points 50 Once a Year)
Reusable Assets / Accelerators (Points 100 Per Contribution)
Step-2
Approval to POD Leader (Field is there in Darwin) - Additional Info1
Step-3
Approval to POD Mentor (Field is there in Darwin) - Additional Info2
Step-4
Approval of Admin (Basically there will be Admin RNR Committee) - Need configuration
Step-5
After Admin Approval points are added to Employees Kitty
Club Qualification Structure
President Club → Top 5–10% OR 1000+ points
Gold Club → Next 15–20% OR 600–999 points
Silver Club → Next 25–30% OR 300–599 points
Some Notes for the Program:
Leadership Board of the Program.
Some Auto Motivational Emails to Employees time to time with leaderboard or Top 3 contenders.</t>
  </si>
  <si>
    <t>As part of this enhancement, while creating an award, admins will have the option to configure the award as “Only Self,” allowing employees to nominate only themselves for that specific award.
The UI will include an option similar to the below within the award setup configuration:
Enable “Only Self” option for the respective award</t>
  </si>
  <si>
    <t>470000</t>
  </si>
  <si>
    <t>Enhancement to the Self-Nomination feature - Only 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</si>
</sst>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F400]h:mm:ss\ AM/PM"/>
  </numFmts>
  <fonts count="22">
    <font>
      <sz val="11"/>
      <color theme="1"/>
      <name val="Calibri"/>
      <family val="2"/>
      <scheme val="minor"/>
    </font>
    <font>
      <sz val="11"/>
      <color rgb="FF000000"/>
      <name val="Calibri"/>
      <family val="2"/>
      <charset val="1"/>
    </font>
    <font>
      <i/>
      <sz val="11"/>
      <color theme="1"/>
      <name val="Calibri"/>
      <family val="2"/>
      <scheme val="minor"/>
    </font>
    <font>
      <u/>
      <sz val="11"/>
      <color theme="10"/>
      <name val="Calibri"/>
      <family val="2"/>
      <scheme val="minor"/>
    </font>
    <font>
      <sz val="11"/>
      <color rgb="FF000000"/>
      <name val="Calibri"/>
      <scheme val="minor"/>
    </font>
    <font>
      <b/>
      <sz val="11"/>
      <color rgb="FF000000"/>
      <name val="Calibri"/>
      <scheme val="minor"/>
    </font>
    <font>
      <sz val="11"/>
      <color rgb="FF000000"/>
      <name val="Calibri"/>
      <charset val="1"/>
    </font>
    <font>
      <sz val="11"/>
      <color rgb="FFFF0000"/>
      <name val="Calibri"/>
      <family val="2"/>
      <scheme val="minor"/>
    </font>
    <font>
      <sz val="11"/>
      <color rgb="FF000000"/>
      <name val="Calibri"/>
      <family val="2"/>
      <scheme val="minor"/>
    </font>
    <font>
      <sz val="11"/>
      <color rgb="FFED7D31"/>
      <name val="Calibri"/>
      <scheme val="minor"/>
    </font>
    <font>
      <b/>
      <sz val="11"/>
      <color theme="1"/>
      <name val="Calibri"/>
      <family val="2"/>
      <scheme val="minor"/>
    </font>
    <font>
      <b/>
      <u/>
      <sz val="11"/>
      <color theme="10"/>
      <name val="Calibri"/>
      <family val="2"/>
      <scheme val="minor"/>
    </font>
    <font>
      <sz val="11"/>
      <color rgb="FF000000"/>
      <name val="Calibri"/>
    </font>
    <font>
      <sz val="11"/>
      <color rgb="FF0070C0"/>
      <name val="Calibri"/>
    </font>
    <font>
      <sz val="11"/>
      <color theme="1"/>
      <name val="Calibri"/>
    </font>
    <font>
      <sz val="12"/>
      <color rgb="FF242424"/>
      <name val="Segoe UI"/>
      <charset val="1"/>
    </font>
    <font>
      <sz val="12"/>
      <color rgb="FF000000"/>
      <name val="Segoe UI"/>
      <charset val="1"/>
    </font>
    <font>
      <sz val="10"/>
      <color rgb="FF000000"/>
      <name val="Aptos"/>
    </font>
    <font>
      <sz val="12"/>
      <color rgb="FF000000"/>
      <name val="Aptos"/>
      <charset val="1"/>
    </font>
    <font>
      <b/>
      <u/>
      <sz val="11"/>
      <color rgb="FF000000"/>
      <name val="Calibri"/>
      <scheme val="minor"/>
    </font>
    <font>
      <b/>
      <sz val="11"/>
      <color theme="1"/>
      <name val="Segoe UI"/>
      <charset val="1"/>
    </font>
    <font>
      <sz val="11"/>
      <color theme="1"/>
      <name val="Segoe UI"/>
      <charset val="1"/>
    </font>
  </fonts>
  <fills count="7">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FFFFFF"/>
        <bgColor indexed="64"/>
      </patternFill>
    </fill>
    <fill>
      <patternFill patternType="solid">
        <fgColor rgb="FFFF0000"/>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96">
    <xf numFmtId="0" fontId="0" fillId="0" borderId="0" xfId="0"/>
    <xf numFmtId="164" fontId="0" fillId="0" borderId="1" xfId="0" applyNumberFormat="1" applyBorder="1" applyAlignment="1">
      <alignment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49" fontId="0" fillId="0" borderId="1" xfId="0" applyNumberFormat="1" applyBorder="1" applyAlignment="1">
      <alignment horizontal="left" vertical="center" wrapText="1"/>
    </xf>
    <xf numFmtId="0" fontId="1" fillId="0" borderId="1" xfId="0" applyFont="1" applyBorder="1" applyAlignment="1">
      <alignment horizontal="left" vertical="center" wrapText="1"/>
    </xf>
    <xf numFmtId="49" fontId="2" fillId="0" borderId="1" xfId="0" applyNumberFormat="1" applyFont="1" applyBorder="1" applyAlignment="1">
      <alignment vertical="center" wrapText="1"/>
    </xf>
    <xf numFmtId="49" fontId="0" fillId="0" borderId="3" xfId="0" applyNumberFormat="1" applyBorder="1" applyAlignment="1">
      <alignment vertical="center" wrapText="1"/>
    </xf>
    <xf numFmtId="49" fontId="0" fillId="0" borderId="3" xfId="0" quotePrefix="1" applyNumberFormat="1" applyBorder="1" applyAlignment="1">
      <alignment vertical="center" wrapText="1"/>
    </xf>
    <xf numFmtId="49" fontId="0" fillId="0" borderId="1" xfId="0" quotePrefix="1" applyNumberForma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164"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49" fontId="0" fillId="0" borderId="4" xfId="0" applyNumberFormat="1" applyBorder="1" applyAlignment="1">
      <alignment vertical="center" wrapText="1"/>
    </xf>
    <xf numFmtId="14" fontId="0" fillId="0" borderId="1" xfId="0" applyNumberForma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164" fontId="0" fillId="0" borderId="3" xfId="0" applyNumberFormat="1" applyBorder="1" applyAlignment="1">
      <alignment vertical="center" wrapText="1"/>
    </xf>
    <xf numFmtId="49" fontId="0" fillId="0" borderId="3" xfId="0" applyNumberFormat="1" applyBorder="1" applyAlignment="1">
      <alignment horizontal="center" vertical="center" wrapText="1"/>
    </xf>
    <xf numFmtId="0" fontId="0" fillId="0" borderId="5" xfId="0" applyBorder="1" applyAlignment="1">
      <alignment vertical="center" wrapText="1"/>
    </xf>
    <xf numFmtId="14" fontId="0" fillId="0" borderId="3" xfId="0" applyNumberFormat="1" applyBorder="1" applyAlignment="1">
      <alignment vertical="center" wrapText="1"/>
    </xf>
    <xf numFmtId="49" fontId="0" fillId="0" borderId="6" xfId="0" applyNumberFormat="1" applyBorder="1" applyAlignment="1">
      <alignment vertical="center" wrapText="1"/>
    </xf>
    <xf numFmtId="49" fontId="3" fillId="0" borderId="3" xfId="1" applyNumberFormat="1" applyBorder="1" applyAlignment="1">
      <alignment vertical="center" wrapText="1"/>
    </xf>
    <xf numFmtId="49" fontId="4" fillId="0" borderId="3" xfId="0" applyNumberFormat="1" applyFont="1" applyBorder="1" applyAlignment="1">
      <alignment vertical="center" wrapText="1"/>
    </xf>
    <xf numFmtId="0" fontId="6" fillId="0" borderId="0" xfId="0" applyFont="1" applyAlignment="1">
      <alignment vertical="center" wrapText="1"/>
    </xf>
    <xf numFmtId="0" fontId="0" fillId="0" borderId="4" xfId="0" applyBorder="1" applyAlignment="1">
      <alignment vertical="center" wrapText="1"/>
    </xf>
    <xf numFmtId="49" fontId="0" fillId="0" borderId="2" xfId="0" applyNumberFormat="1" applyBorder="1" applyAlignment="1">
      <alignment vertical="center" wrapText="1"/>
    </xf>
    <xf numFmtId="0" fontId="3" fillId="0" borderId="1" xfId="1" applyFill="1" applyBorder="1" applyAlignment="1">
      <alignment vertical="center" wrapText="1"/>
    </xf>
    <xf numFmtId="49" fontId="3" fillId="0" borderId="3" xfId="1" applyNumberFormat="1" applyFill="1" applyBorder="1" applyAlignment="1">
      <alignment vertical="center" wrapText="1"/>
    </xf>
    <xf numFmtId="49" fontId="3" fillId="0" borderId="1" xfId="1" applyNumberFormat="1" applyBorder="1" applyAlignment="1">
      <alignment vertical="center" wrapText="1"/>
    </xf>
    <xf numFmtId="49" fontId="3" fillId="0" borderId="1" xfId="1" applyNumberFormat="1" applyFill="1" applyBorder="1" applyAlignment="1">
      <alignment vertical="center" wrapText="1"/>
    </xf>
    <xf numFmtId="49" fontId="4" fillId="0" borderId="3" xfId="0" quotePrefix="1" applyNumberFormat="1" applyFont="1" applyBorder="1" applyAlignment="1">
      <alignment vertical="center" wrapText="1"/>
    </xf>
    <xf numFmtId="49" fontId="7" fillId="0" borderId="3" xfId="0" quotePrefix="1" applyNumberFormat="1" applyFont="1" applyBorder="1" applyAlignment="1">
      <alignment vertical="center" wrapText="1"/>
    </xf>
    <xf numFmtId="49" fontId="8" fillId="2" borderId="3" xfId="0" quotePrefix="1" applyNumberFormat="1" applyFont="1" applyFill="1" applyBorder="1" applyAlignment="1">
      <alignment vertical="center" wrapText="1"/>
    </xf>
    <xf numFmtId="49" fontId="0" fillId="2" borderId="3" xfId="0" quotePrefix="1" applyNumberFormat="1" applyFill="1" applyBorder="1" applyAlignment="1">
      <alignment vertical="center" wrapText="1"/>
    </xf>
    <xf numFmtId="49" fontId="4" fillId="0" borderId="1" xfId="0" applyNumberFormat="1" applyFont="1" applyBorder="1" applyAlignment="1">
      <alignment vertical="center" wrapText="1"/>
    </xf>
    <xf numFmtId="49" fontId="0" fillId="0" borderId="7" xfId="0" applyNumberFormat="1" applyBorder="1" applyAlignment="1">
      <alignment vertical="center" wrapText="1"/>
    </xf>
    <xf numFmtId="0" fontId="3" fillId="0" borderId="1" xfId="1" applyBorder="1" applyAlignment="1">
      <alignment vertical="center" wrapText="1"/>
    </xf>
    <xf numFmtId="0" fontId="10" fillId="0" borderId="1" xfId="0" applyFont="1" applyBorder="1" applyAlignment="1">
      <alignment vertical="center" wrapText="1"/>
    </xf>
    <xf numFmtId="49" fontId="10" fillId="0" borderId="3" xfId="0" applyNumberFormat="1" applyFont="1" applyBorder="1" applyAlignment="1">
      <alignment horizontal="center" vertical="center" wrapText="1"/>
    </xf>
    <xf numFmtId="0" fontId="10" fillId="0" borderId="2" xfId="0" applyFont="1" applyBorder="1" applyAlignment="1">
      <alignment vertical="center" wrapText="1"/>
    </xf>
    <xf numFmtId="0" fontId="10" fillId="0" borderId="3" xfId="0" applyFont="1" applyBorder="1" applyAlignment="1">
      <alignment vertical="center" wrapText="1"/>
    </xf>
    <xf numFmtId="14" fontId="10" fillId="0" borderId="3" xfId="0" applyNumberFormat="1" applyFont="1" applyBorder="1" applyAlignment="1">
      <alignment vertical="center" wrapText="1"/>
    </xf>
    <xf numFmtId="164" fontId="10" fillId="0" borderId="3" xfId="0" applyNumberFormat="1" applyFont="1" applyBorder="1" applyAlignment="1">
      <alignment vertical="center" wrapText="1"/>
    </xf>
    <xf numFmtId="49" fontId="11" fillId="0" borderId="3" xfId="1" applyNumberFormat="1" applyFont="1" applyBorder="1" applyAlignment="1">
      <alignment vertical="center" wrapText="1"/>
    </xf>
    <xf numFmtId="49" fontId="10" fillId="0" borderId="3" xfId="0" applyNumberFormat="1" applyFont="1" applyBorder="1" applyAlignment="1">
      <alignment vertical="center" wrapText="1"/>
    </xf>
    <xf numFmtId="49" fontId="10" fillId="0" borderId="3" xfId="0" quotePrefix="1" applyNumberFormat="1" applyFont="1" applyBorder="1" applyAlignment="1">
      <alignment vertical="center" wrapText="1"/>
    </xf>
    <xf numFmtId="49" fontId="10" fillId="0" borderId="4" xfId="0" applyNumberFormat="1" applyFont="1" applyBorder="1" applyAlignment="1">
      <alignment vertical="center" wrapText="1"/>
    </xf>
    <xf numFmtId="49" fontId="5" fillId="0" borderId="3" xfId="0" applyNumberFormat="1" applyFont="1" applyBorder="1" applyAlignment="1">
      <alignment vertical="center" wrapText="1"/>
    </xf>
    <xf numFmtId="0" fontId="0" fillId="0" borderId="7" xfId="0" applyBorder="1" applyAlignment="1">
      <alignment vertical="center" wrapText="1"/>
    </xf>
    <xf numFmtId="49" fontId="0" fillId="0" borderId="3" xfId="0" applyNumberFormat="1" applyBorder="1" applyAlignment="1">
      <alignment horizontal="left" vertical="center" wrapText="1"/>
    </xf>
    <xf numFmtId="49" fontId="8" fillId="0" borderId="3" xfId="0" applyNumberFormat="1" applyFont="1" applyBorder="1" applyAlignment="1">
      <alignment vertical="center" wrapText="1"/>
    </xf>
    <xf numFmtId="0" fontId="3" fillId="0" borderId="3" xfId="1" applyNumberFormat="1" applyBorder="1" applyAlignment="1">
      <alignment vertical="center" wrapText="1"/>
    </xf>
    <xf numFmtId="14" fontId="0" fillId="0" borderId="4" xfId="0" applyNumberFormat="1" applyBorder="1" applyAlignment="1">
      <alignment vertical="center" wrapText="1"/>
    </xf>
    <xf numFmtId="0" fontId="0" fillId="3" borderId="1" xfId="0" applyFill="1" applyBorder="1" applyAlignment="1">
      <alignment vertical="center" wrapText="1"/>
    </xf>
    <xf numFmtId="164" fontId="0" fillId="3" borderId="1" xfId="0" applyNumberFormat="1" applyFill="1" applyBorder="1" applyAlignment="1">
      <alignment vertical="center" wrapText="1"/>
    </xf>
    <xf numFmtId="164" fontId="0" fillId="3" borderId="3" xfId="0" applyNumberFormat="1" applyFill="1" applyBorder="1" applyAlignment="1">
      <alignment vertical="center" wrapText="1"/>
    </xf>
    <xf numFmtId="165" fontId="0" fillId="0" borderId="1" xfId="0" applyNumberFormat="1" applyBorder="1" applyAlignment="1">
      <alignment vertical="center" wrapText="1"/>
    </xf>
    <xf numFmtId="165" fontId="0" fillId="0" borderId="1" xfId="0" applyNumberFormat="1" applyBorder="1" applyAlignment="1">
      <alignment horizontal="left" vertical="center" wrapText="1"/>
    </xf>
    <xf numFmtId="165" fontId="0" fillId="0" borderId="3" xfId="0" applyNumberFormat="1" applyBorder="1" applyAlignment="1">
      <alignment vertical="center" wrapText="1"/>
    </xf>
    <xf numFmtId="165" fontId="10" fillId="0" borderId="3" xfId="0" applyNumberFormat="1" applyFont="1" applyBorder="1" applyAlignment="1">
      <alignment vertical="center" wrapText="1"/>
    </xf>
    <xf numFmtId="49" fontId="0" fillId="3" borderId="3" xfId="0" applyNumberFormat="1" applyFill="1" applyBorder="1" applyAlignment="1">
      <alignment vertical="center" wrapText="1"/>
    </xf>
    <xf numFmtId="49" fontId="0" fillId="0" borderId="4" xfId="0" applyNumberFormat="1" applyBorder="1" applyAlignment="1">
      <alignment horizontal="center" vertical="center" wrapText="1"/>
    </xf>
    <xf numFmtId="49" fontId="0" fillId="3" borderId="4" xfId="0" applyNumberFormat="1" applyFill="1" applyBorder="1" applyAlignment="1">
      <alignment vertical="center" wrapText="1"/>
    </xf>
    <xf numFmtId="49" fontId="0" fillId="0" borderId="5" xfId="0" applyNumberFormat="1" applyBorder="1" applyAlignment="1">
      <alignment vertical="center" wrapText="1"/>
    </xf>
    <xf numFmtId="49" fontId="10" fillId="3" borderId="3" xfId="0" applyNumberFormat="1" applyFont="1" applyFill="1" applyBorder="1" applyAlignment="1">
      <alignment vertical="center" wrapText="1"/>
    </xf>
    <xf numFmtId="164" fontId="0" fillId="3" borderId="1" xfId="0" applyNumberFormat="1" applyFill="1" applyBorder="1" applyAlignment="1">
      <alignment horizontal="left" vertical="center" wrapText="1"/>
    </xf>
    <xf numFmtId="0" fontId="0" fillId="3" borderId="3" xfId="0" applyFill="1" applyBorder="1" applyAlignment="1">
      <alignment vertical="center" wrapText="1"/>
    </xf>
    <xf numFmtId="0" fontId="0" fillId="0" borderId="0" xfId="0" applyAlignment="1">
      <alignment vertical="center" wrapText="1"/>
    </xf>
    <xf numFmtId="0" fontId="3" fillId="0" borderId="0" xfId="1" applyFill="1" applyAlignment="1">
      <alignment wrapText="1"/>
    </xf>
    <xf numFmtId="49" fontId="0" fillId="3" borderId="1" xfId="0" applyNumberFormat="1" applyFill="1" applyBorder="1" applyAlignment="1">
      <alignment vertical="center" wrapText="1"/>
    </xf>
    <xf numFmtId="0" fontId="0" fillId="0" borderId="3" xfId="0" quotePrefix="1" applyBorder="1" applyAlignment="1">
      <alignment vertical="center" wrapText="1"/>
    </xf>
    <xf numFmtId="3" fontId="0" fillId="0" borderId="3" xfId="0" quotePrefix="1" applyNumberFormat="1" applyBorder="1" applyAlignment="1">
      <alignment vertical="center" wrapText="1"/>
    </xf>
    <xf numFmtId="0" fontId="0" fillId="0" borderId="1" xfId="0" quotePrefix="1" applyBorder="1" applyAlignment="1">
      <alignment vertical="center" wrapText="1"/>
    </xf>
    <xf numFmtId="49" fontId="3" fillId="3" borderId="3" xfId="1" applyNumberFormat="1" applyFill="1" applyBorder="1" applyAlignment="1">
      <alignment vertical="center" wrapText="1"/>
    </xf>
    <xf numFmtId="49" fontId="14" fillId="0" borderId="1" xfId="0" applyNumberFormat="1" applyFont="1" applyBorder="1" applyAlignment="1">
      <alignment vertical="center" wrapText="1"/>
    </xf>
    <xf numFmtId="0" fontId="3" fillId="0" borderId="3" xfId="1" applyNumberFormat="1" applyFill="1" applyBorder="1" applyAlignment="1">
      <alignment vertical="center" wrapText="1"/>
    </xf>
    <xf numFmtId="49" fontId="0" fillId="3" borderId="3" xfId="0" applyNumberFormat="1" applyFill="1" applyBorder="1" applyAlignment="1">
      <alignment horizontal="left" vertical="center" wrapText="1"/>
    </xf>
    <xf numFmtId="0" fontId="18" fillId="4" borderId="0" xfId="0" applyFont="1" applyFill="1" applyAlignment="1">
      <alignment wrapText="1"/>
    </xf>
    <xf numFmtId="14" fontId="0" fillId="3" borderId="3" xfId="0" applyNumberFormat="1" applyFill="1" applyBorder="1" applyAlignment="1">
      <alignment vertical="center" wrapText="1"/>
    </xf>
    <xf numFmtId="14" fontId="0" fillId="5" borderId="3" xfId="0" applyNumberFormat="1" applyFill="1" applyBorder="1" applyAlignment="1">
      <alignment vertical="center" wrapText="1"/>
    </xf>
    <xf numFmtId="0" fontId="6" fillId="0" borderId="0" xfId="0" applyFont="1" applyAlignment="1">
      <alignment wrapText="1"/>
    </xf>
    <xf numFmtId="49" fontId="0" fillId="0" borderId="3" xfId="0" applyNumberFormat="1" applyBorder="1" applyAlignment="1">
      <alignment vertical="top" wrapText="1"/>
    </xf>
    <xf numFmtId="49" fontId="21" fillId="0" borderId="3" xfId="0" applyNumberFormat="1" applyFont="1" applyBorder="1" applyAlignment="1">
      <alignment vertical="center" wrapText="1"/>
    </xf>
    <xf numFmtId="0" fontId="0" fillId="6" borderId="2" xfId="0" applyFill="1" applyBorder="1" applyAlignment="1">
      <alignment vertical="center" wrapText="1"/>
    </xf>
    <xf numFmtId="49" fontId="21" fillId="0" borderId="1" xfId="0" applyNumberFormat="1" applyFont="1" applyBorder="1" applyAlignment="1">
      <alignment vertical="center" wrapText="1"/>
    </xf>
    <xf numFmtId="49" fontId="0" fillId="0" borderId="8" xfId="0" applyNumberFormat="1" applyBorder="1" applyAlignment="1">
      <alignment vertical="center" wrapText="1"/>
    </xf>
    <xf numFmtId="0" fontId="0" fillId="0" borderId="3" xfId="0" applyBorder="1" applyAlignment="1">
      <alignment wrapText="1"/>
    </xf>
    <xf numFmtId="49" fontId="0" fillId="0" borderId="0" xfId="0" applyNumberFormat="1" applyAlignment="1">
      <alignment vertical="center" wrapText="1"/>
    </xf>
    <xf numFmtId="0" fontId="21" fillId="0" borderId="1" xfId="0" applyFont="1" applyBorder="1" applyAlignment="1">
      <alignment wrapText="1"/>
    </xf>
    <xf numFmtId="49" fontId="14" fillId="0" borderId="0" xfId="0" applyNumberFormat="1" applyFont="1" applyAlignment="1">
      <alignment vertical="center" wrapText="1"/>
    </xf>
    <xf numFmtId="0" fontId="0" fillId="0" borderId="5" xfId="0" quotePrefix="1" applyBorder="1" applyAlignment="1">
      <alignment vertical="center" wrapText="1"/>
    </xf>
    <xf numFmtId="0" fontId="0" fillId="0" borderId="2" xfId="0" quotePrefix="1" applyBorder="1" applyAlignment="1">
      <alignment vertical="center" wrapText="1"/>
    </xf>
  </cellXfs>
  <cellStyles count="2">
    <cellStyle name="Hyperlink" xfId="1" builtinId="8"/>
    <cellStyle name="Normal" xfId="0" builtinId="0"/>
  </cellStyles>
  <dxfs count="35">
    <dxf>
      <alignment vertical="center" wrapText="1"/>
    </dxf>
    <dxf>
      <alignment vertical="center" wrapText="1"/>
    </dxf>
    <dxf>
      <numFmt numFmtId="30" formatCode="@"/>
      <alignment vertical="center" wrapText="1"/>
      <border>
        <left style="thin">
          <color rgb="FF000000"/>
        </left>
        <right/>
        <top style="thin">
          <color rgb="FF000000"/>
        </top>
        <bottom style="thin">
          <color rgb="FF000000"/>
        </bottom>
        <vertical style="thin">
          <color rgb="FF000000"/>
        </vertical>
        <horizontal style="thin">
          <color rgb="FF000000"/>
        </horizontal>
      </border>
    </dxf>
    <dxf>
      <numFmt numFmtId="164" formatCode="[$-409]d\-mmm\-yy;@"/>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30" formatCode="@"/>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409]d\-mmm\-yy;@"/>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F400]h:mm:ss\ AM/PM"/>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right style="thin">
          <color rgb="FF000000"/>
        </right>
        <top style="thin">
          <color rgb="FF000000"/>
        </top>
        <bottom/>
        <vertical/>
        <horizontal/>
      </border>
    </dxf>
    <dxf>
      <numFmt numFmtId="0" formatCode="General"/>
      <alignment vertical="center" wrapText="1"/>
      <border>
        <left/>
        <right style="thin">
          <color rgb="FF000000"/>
        </right>
        <top style="thin">
          <color rgb="FF000000"/>
        </top>
        <bottom style="thin">
          <color rgb="FF000000"/>
        </bottom>
        <vertical style="thin">
          <color rgb="FF000000"/>
        </vertical>
        <horizontal style="thin">
          <color rgb="FF000000"/>
        </horizontal>
      </border>
    </dxf>
    <dxf>
      <alignment vertical="center" wrapText="1"/>
    </dxf>
    <dxf>
      <alignment vertical="center" wrapText="1"/>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ocumenttasks/documenttask1.xml><?xml version="1.0" encoding="utf-8"?>
<Tasks xmlns="http://schemas.microsoft.com/office/tasks/2019/documenttasks">
  <Task id="{EBDAC35E-4B12-4346-853C-2594FDBFD5A5}">
    <Anchor>
      <Comment id="{17C84A16-38F9-4EBB-B69A-A14B6682DCA7}"/>
    </Anchor>
    <History>
      <Event time="2025-10-10T06:29:02.73" id="{98C1C085-C52F-4C87-B7FA-8BAC9B5377B7}">
        <Attribution userId="S::garima.kayal@vantagecircle.com::01bbfcf8-aae6-4b39-8f87-d12ad0ac1211" userName="Garima Kayal" userProvider="AD"/>
        <Anchor>
          <Comment id="{17C84A16-38F9-4EBB-B69A-A14B6682DCA7}"/>
        </Anchor>
        <Create/>
      </Event>
      <Event time="2025-10-10T06:29:02.73" id="{55D498F4-FF6F-4792-9538-E0F921A8C194}">
        <Attribution userId="S::garima.kayal@vantagecircle.com::01bbfcf8-aae6-4b39-8f87-d12ad0ac1211" userName="Garima Kayal" userProvider="AD"/>
        <Anchor>
          <Comment id="{17C84A16-38F9-4EBB-B69A-A14B6682DCA7}"/>
        </Anchor>
        <Assign userId="S::pankaj.chakrabarty@vantagecircle.com::7051cd7d-4208-4fb9-b9cb-3a803f06b56d" userName="Pankaj Chakrabarty" userProvider="AD"/>
      </Event>
      <Event time="2025-10-10T06:29:02.73" id="{1A466FAC-4FD6-436F-90E7-D1E3C3725B39}">
        <Attribution userId="S::garima.kayal@vantagecircle.com::01bbfcf8-aae6-4b39-8f87-d12ad0ac1211" userName="Garima Kayal" userProvider="AD"/>
        <Anchor>
          <Comment id="{17C84A16-38F9-4EBB-B69A-A14B6682DCA7}"/>
        </Anchor>
        <SetTitle title="@Pankaj Chakrabarty"/>
      </Event>
    </History>
  </Task>
  <Task id="{94A8B4B7-616D-44D9-88D5-D27FE4968D38}">
    <Anchor>
      <Comment id="{E9996E28-0FE3-4D0A-AA60-F1DF77F3E120}"/>
    </Anchor>
    <History>
      <Event time="2025-10-10T06:28:37.67" id="{92F0F00C-79C9-4394-871A-BA8E6AA677B2}">
        <Attribution userId="S::garima.kayal@vantagecircle.com::01bbfcf8-aae6-4b39-8f87-d12ad0ac1211" userName="Garima Kayal" userProvider="AD"/>
        <Anchor>
          <Comment id="{E9996E28-0FE3-4D0A-AA60-F1DF77F3E120}"/>
        </Anchor>
        <Create/>
      </Event>
      <Event time="2025-10-10T06:28:37.67" id="{3ED06CA1-0D9D-4AC9-8F9C-D29334C3A1C7}">
        <Attribution userId="S::garima.kayal@vantagecircle.com::01bbfcf8-aae6-4b39-8f87-d12ad0ac1211" userName="Garima Kayal" userProvider="AD"/>
        <Anchor>
          <Comment id="{E9996E28-0FE3-4D0A-AA60-F1DF77F3E120}"/>
        </Anchor>
        <Assign userId="S::pankaj.chakrabarty@vantagecircle.com::7051cd7d-4208-4fb9-b9cb-3a803f06b56d" userName="Pankaj Chakrabarty" userProvider="AD"/>
      </Event>
      <Event time="2025-10-10T06:28:37.67" id="{0DC51381-597D-4C3C-ABB1-BCFE67F43615}">
        <Attribution userId="S::garima.kayal@vantagecircle.com::01bbfcf8-aae6-4b39-8f87-d12ad0ac1211" userName="Garima Kayal" userProvider="AD"/>
        <Anchor>
          <Comment id="{E9996E28-0FE3-4D0A-AA60-F1DF77F3E120}"/>
        </Anchor>
        <SetTitle title="@Pankaj Chakrabarty"/>
      </Event>
    </History>
  </Task>
</Task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5EBAA85-D2DB-4E8A-9AF0-FC9292FE9255}">
    <nsvFilter filterId="{00000000-0009-0000-0100-000001000000}" ref="A1:AG253" tableId="1"/>
  </namedSheetView>
</namedSheetViews>
</file>

<file path=xl/persons/person.xml><?xml version="1.0" encoding="utf-8"?>
<personList xmlns="http://schemas.microsoft.com/office/spreadsheetml/2018/threadedcomments" xmlns:x="http://schemas.openxmlformats.org/spreadsheetml/2006/main">
  <person displayName="Pankaj Chakrabarty" id="{020A5326-2E2F-4620-AF5C-21194441DBE0}" userId="pankaj.chakrabarty@vantagecircle.com" providerId="PeoplePicker"/>
  <person displayName="Garima Kayal" id="{74BE745B-4C7C-4E6A-9455-7D66AC061B0B}" userId="S::garima.kayal@vantagecircle.com::01bbfcf8-aae6-4b39-8f87-d12ad0ac121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G253" totalsRowShown="0" headerRowDxfId="34" dataDxfId="33">
  <autoFilter ref="A1:AG253" xr:uid="{00000000-0009-0000-0100-000001000000}"/>
  <tableColumns count="33">
    <tableColumn id="1" xr3:uid="{00000000-0010-0000-0000-000001000000}" name="Id" dataDxfId="32">
      <extLst>
        <ext xmlns:xlmsforms="http://schemas.microsoft.com/office/spreadsheetml/2023/msForms" uri="{FCC71383-01E1-4257-9335-427F07BE8D7F}">
          <xlmsforms:question id="id"/>
        </ext>
      </extLst>
    </tableColumn>
    <tableColumn id="32" xr3:uid="{496D8F93-74E7-4D08-9BC2-B653FC9CB1F4}" name="Column1" dataDxfId="31"/>
    <tableColumn id="2" xr3:uid="{00000000-0010-0000-0000-000002000000}" name="Start time" dataDxfId="30">
      <extLst>
        <ext xmlns:xlmsforms="http://schemas.microsoft.com/office/spreadsheetml/2023/msForms" uri="{FCC71383-01E1-4257-9335-427F07BE8D7F}">
          <xlmsforms:question id="startDate"/>
        </ext>
      </extLst>
    </tableColumn>
    <tableColumn id="3" xr3:uid="{00000000-0010-0000-0000-000003000000}" name="Completion time" dataDxfId="29">
      <extLst>
        <ext xmlns:xlmsforms="http://schemas.microsoft.com/office/spreadsheetml/2023/msForms" uri="{FCC71383-01E1-4257-9335-427F07BE8D7F}">
          <xlmsforms:question id="submitDate"/>
        </ext>
      </extLst>
    </tableColumn>
    <tableColumn id="27" xr3:uid="{3D0BF7A0-856F-4E6A-AC07-50021B71CFFD}" name="Initial Response Date" dataDxfId="28">
      <calculatedColumnFormula>DATE(YEAR(OfficeForms.Table[[#This Row],[Completion time]]), MONTH(OfficeForms.Table[[#This Row],[Completion time]]), DAY(OfficeForms.Table[[#This Row],[Completion time]]))</calculatedColumnFormula>
    </tableColumn>
    <tableColumn id="4" xr3:uid="{00000000-0010-0000-0000-000004000000}" name="Email" dataDxfId="27">
      <extLst>
        <ext xmlns:xlmsforms="http://schemas.microsoft.com/office/spreadsheetml/2023/msForms" uri="{FCC71383-01E1-4257-9335-427F07BE8D7F}">
          <xlmsforms:question id="responder"/>
        </ext>
      </extLst>
    </tableColumn>
    <tableColumn id="5" xr3:uid="{00000000-0010-0000-0000-000005000000}" name="Name" dataDxfId="26">
      <extLst>
        <ext xmlns:xlmsforms="http://schemas.microsoft.com/office/spreadsheetml/2023/msForms" uri="{FCC71383-01E1-4257-9335-427F07BE8D7F}">
          <xlmsforms:question id="responderName"/>
        </ext>
      </extLst>
    </tableColumn>
    <tableColumn id="24" xr3:uid="{DA3D439B-8795-4881-ABCE-F7D94579CD26}" name="Email Subject Line" dataDxfId="25"/>
    <tableColumn id="6" xr3:uid="{00000000-0010-0000-0000-000006000000}" name="Brief" dataDxfId="24">
      <extLst>
        <ext xmlns:xlmsforms="http://schemas.microsoft.com/office/spreadsheetml/2023/msForms" uri="{FCC71383-01E1-4257-9335-427F07BE8D7F}">
          <xlmsforms:question id="ra57fdd4b4c1a45ee9fcceca9a1cba125"/>
        </ext>
      </extLst>
    </tableColumn>
    <tableColumn id="7" xr3:uid="{00000000-0010-0000-0000-000007000000}" name="Description" dataDxfId="23">
      <extLst>
        <ext xmlns:xlmsforms="http://schemas.microsoft.com/office/spreadsheetml/2023/msForms" uri="{FCC71383-01E1-4257-9335-427F07BE8D7F}">
          <xlmsforms:question id="r43eeaea3f25a4beab32e9d70f0a361a7"/>
        </ext>
      </extLst>
    </tableColumn>
    <tableColumn id="8" xr3:uid="{00000000-0010-0000-0000-000008000000}" name="Client/Prospect Name" dataDxfId="22">
      <extLst>
        <ext xmlns:xlmsforms="http://schemas.microsoft.com/office/spreadsheetml/2023/msForms" uri="{FCC71383-01E1-4257-9335-427F07BE8D7F}">
          <xlmsforms:question id="rfa59dc39e307439c82c396ca4b02c5c0"/>
        </ext>
      </extLst>
    </tableColumn>
    <tableColumn id="16" xr3:uid="{D9A61107-9B11-40F6-8F2E-C0245E6ADF28}" name="Status" dataDxfId="21"/>
    <tableColumn id="17" xr3:uid="{CA4FB4C9-541B-44E2-AB42-9B2B02B96771}" name="Solution Suggested/Answer to Query" dataDxfId="20"/>
    <tableColumn id="31" xr3:uid="{E48EBB92-3B26-4972-A987-A67F27027A86}" name="(Optional)" dataDxfId="19" dataCellStyle="Hyperlink">
      <extLst>
        <ext xmlns:xlmsforms="http://schemas.microsoft.com/office/spreadsheetml/2023/msForms" uri="{FCC71383-01E1-4257-9335-427F07BE8D7F}">
          <xlmsforms:question id="r140d49bd4b074a0babc9eee33f8ed649"/>
        </ext>
      </extLst>
    </tableColumn>
    <tableColumn id="9" xr3:uid="{00000000-0010-0000-0000-000009000000}" name="Employee Size" dataDxfId="18">
      <extLst>
        <ext xmlns:xlmsforms="http://schemas.microsoft.com/office/spreadsheetml/2023/msForms" uri="{FCC71383-01E1-4257-9335-427F07BE8D7F}">
          <xlmsforms:question id="r88fc5cfbb42146758de0b886e79473e3"/>
        </ext>
      </extLst>
    </tableColumn>
    <tableColumn id="10" xr3:uid="{00000000-0010-0000-0000-00000A000000}" name="Billing Location" dataDxfId="17">
      <extLst>
        <ext xmlns:xlmsforms="http://schemas.microsoft.com/office/spreadsheetml/2023/msForms" uri="{FCC71383-01E1-4257-9335-427F07BE8D7F}">
          <xlmsforms:question id="r99e21525f63344dc923157cf90789ba9"/>
        </ext>
      </extLst>
    </tableColumn>
    <tableColumn id="25" xr3:uid="{FDA59C50-8AB2-4F17-AE1E-0F36FE4C23EC}" name="Subscription Cost" dataDxfId="16">
      <extLst>
        <ext xmlns:xlmsforms="http://schemas.microsoft.com/office/spreadsheetml/2023/msForms" uri="{FCC71383-01E1-4257-9335-427F07BE8D7F}">
          <xlmsforms:question id="r2b5abd4557ac45c5bf3c91d22380a347"/>
        </ext>
      </extLst>
    </tableColumn>
    <tableColumn id="26" xr3:uid="{18FBE431-110D-4424-BAEB-68AC66954CB9}" name="Rewards Budget" dataDxfId="15">
      <extLst>
        <ext xmlns:xlmsforms="http://schemas.microsoft.com/office/spreadsheetml/2023/msForms" uri="{FCC71383-01E1-4257-9335-427F07BE8D7F}">
          <xlmsforms:question id="r28050ee299054f57ba3a71904c506313"/>
        </ext>
      </extLst>
    </tableColumn>
    <tableColumn id="11" xr3:uid="{00000000-0010-0000-0000-00000B000000}" name="Feature Name" dataDxfId="14">
      <extLst>
        <ext xmlns:xlmsforms="http://schemas.microsoft.com/office/spreadsheetml/2023/msForms" uri="{FCC71383-01E1-4257-9335-427F07BE8D7F}">
          <xlmsforms:question id="rc0466eb47e1d45a79a7f41b74d9a9982"/>
        </ext>
      </extLst>
    </tableColumn>
    <tableColumn id="33" xr3:uid="{5A332A9D-079A-4161-B315-50C67F5257FC}" name="Please mention customizations done for the client that may have an impact on this request. " dataDxfId="13">
      <extLst>
        <ext xmlns:xlmsforms="http://schemas.microsoft.com/office/spreadsheetml/2023/msForms" uri="{FCC71383-01E1-4257-9335-427F07BE8D7F}">
          <xlmsforms:question id="r74363d0acc53423e84f4dfb3bd4c9dec"/>
        </ext>
      </extLst>
    </tableColumn>
    <tableColumn id="12" xr3:uid="{00000000-0010-0000-0000-00000C000000}" name="VC SPOC" dataDxfId="12">
      <extLst>
        <ext xmlns:xlmsforms="http://schemas.microsoft.com/office/spreadsheetml/2023/msForms" uri="{FCC71383-01E1-4257-9335-427F07BE8D7F}">
          <xlmsforms:question id="r15057d497e3d4439adef3749fc80475a"/>
        </ext>
      </extLst>
    </tableColumn>
    <tableColumn id="13" xr3:uid="{00000000-0010-0000-0000-00000D000000}" name="Priority Justification" dataDxfId="11">
      <extLst>
        <ext xmlns:xlmsforms="http://schemas.microsoft.com/office/spreadsheetml/2023/msForms" uri="{FCC71383-01E1-4257-9335-427F07BE8D7F}">
          <xlmsforms:question id="raf9369c3bbb14be7987422ea860413d4"/>
        </ext>
      </extLst>
    </tableColumn>
    <tableColumn id="14" xr3:uid="{00000000-0010-0000-0000-00000E000000}" name="Is it a go-live requirement?" dataDxfId="10">
      <extLst>
        <ext xmlns:xlmsforms="http://schemas.microsoft.com/office/spreadsheetml/2023/msForms" uri="{FCC71383-01E1-4257-9335-427F07BE8D7F}">
          <xlmsforms:question id="r665cb342e9c541eb9cbf0632a2345989"/>
        </ext>
      </extLst>
    </tableColumn>
    <tableColumn id="15" xr3:uid="{00000000-0010-0000-0000-00000F000000}" name="Go-live Date" dataDxfId="9">
      <extLst>
        <ext xmlns:xlmsforms="http://schemas.microsoft.com/office/spreadsheetml/2023/msForms" uri="{FCC71383-01E1-4257-9335-427F07BE8D7F}">
          <xlmsforms:question id="rd4600fd776c64947aac6fac68a1b7321"/>
        </ext>
      </extLst>
    </tableColumn>
    <tableColumn id="18" xr3:uid="{7AA5307F-B42A-4574-9A2A-E64D11DA449A}" name="Link 1 " dataDxfId="8"/>
    <tableColumn id="19" xr3:uid="{8CAEF918-F6C2-43F7-A92F-957FB4EFE2E2}" name="Link 2" dataDxfId="7"/>
    <tableColumn id="20" xr3:uid="{2E116021-C81A-4409-8B23-7C354E2D4949}" name="DEV Sprint Planning" dataDxfId="6"/>
    <tableColumn id="21" xr3:uid="{6EA70085-D5C1-4051-8630-247C608F1B42}" name="Ticket" dataDxfId="5"/>
    <tableColumn id="28" xr3:uid="{8AF4D989-56F7-4734-8304-1C4CEF9352B2}" name="Department" dataDxfId="4"/>
    <tableColumn id="22" xr3:uid="{0A83EC57-603D-4084-80FB-56A761B52A2E}" name="Closed On" dataDxfId="3"/>
    <tableColumn id="23" xr3:uid="{843A9FE8-B5AA-40B6-AC6F-BC9F1EF27E1E}" name="Solution SPOC" dataDxfId="2"/>
    <tableColumn id="29" xr3:uid="{64E03CD0-C024-414F-B479-775D9F79B3D8}" name="Remarks" dataDxfId="1"/>
    <tableColumn id="30" xr3:uid="{2D1E2EB5-578D-4BC5-9B0A-F96AA19CEE07}" name="Complexity" dataDxfId="0"/>
  </tableColumns>
  <tableStyleInfo name="TableStyleMedium2" showFirstColumn="0" showLastColumn="0" showRowStripes="1" showColumnStripes="0"/>
  <extLst>
    <ext xmlns:xlmsforms="http://schemas.microsoft.com/office/spreadsheetml/2023/msForms" uri="{839C7E11-91E4-4DBD-9C5D-0DEA604FA9AC}">
      <xlmsforms:msForm id="mrkeOPQJ9kK8AT7bPzxLsyU-ub6zDfpBioyG6BYxpKtUNExFVUlQTTRWSjVEUTZEMTg4TkVTRFlYMiQlQCN0PWcu" isFormConnected="1" maxResponseId="249" latestEventMarker="27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ra57fdd4b4c1a45ee9fcceca9a1cba125</xlmsforms:syncedQuestionId>
        <xlmsforms:syncedQuestionId>r43eeaea3f25a4beab32e9d70f0a361a7</xlmsforms:syncedQuestionId>
        <xlmsforms:syncedQuestionId>rfa59dc39e307439c82c396ca4b02c5c0</xlmsforms:syncedQuestionId>
        <xlmsforms:syncedQuestionId>r88fc5cfbb42146758de0b886e79473e3</xlmsforms:syncedQuestionId>
        <xlmsforms:syncedQuestionId>r99e21525f63344dc923157cf90789ba9</xlmsforms:syncedQuestionId>
        <xlmsforms:syncedQuestionId>rc0466eb47e1d45a79a7f41b74d9a9982</xlmsforms:syncedQuestionId>
        <xlmsforms:syncedQuestionId>r15057d497e3d4439adef3749fc80475a</xlmsforms:syncedQuestionId>
        <xlmsforms:syncedQuestionId>raf9369c3bbb14be7987422ea860413d4</xlmsforms:syncedQuestionId>
        <xlmsforms:syncedQuestionId>r665cb342e9c541eb9cbf0632a2345989</xlmsforms:syncedQuestionId>
        <xlmsforms:syncedQuestionId>rd4600fd776c64947aac6fac68a1b7321</xlmsforms:syncedQuestionId>
        <xlmsforms:syncedQuestionId>r2b5abd4557ac45c5bf3c91d22380a347</xlmsforms:syncedQuestionId>
        <xlmsforms:syncedQuestionId>r28050ee299054f57ba3a71904c506313</xlmsforms:syncedQuestionId>
        <xlmsforms:syncedQuestionId>r140d49bd4b074a0babc9eee33f8ed649</xlmsforms:syncedQuestionId>
        <xlmsforms:syncedQuestionId>r74363d0acc53423e84f4dfb3bd4c9dec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94" dT="2025-10-10T06:28:37.86" personId="{74BE745B-4C7C-4E6A-9455-7D66AC061B0B}" id="{E9996E28-0FE3-4D0A-AA60-F1DF77F3E120}">
    <text xml:space="preserve">@Pankaj Chakrabarty </text>
    <mentions>
      <mention mentionpersonId="{020A5326-2E2F-4620-AF5C-21194441DBE0}" mentionId="{9D1C8909-AEA1-460B-9F3B-D09F17C2FD7A}" startIndex="0" length="19"/>
    </mentions>
  </threadedComment>
  <threadedComment ref="AE140" dT="2025-10-10T06:29:02.93" personId="{74BE745B-4C7C-4E6A-9455-7D66AC061B0B}" id="{17C84A16-38F9-4EBB-B69A-A14B6682DCA7}">
    <text xml:space="preserve">@Pankaj Chakrabarty </text>
    <mentions>
      <mention mentionpersonId="{020A5326-2E2F-4620-AF5C-21194441DBE0}" mentionId="{BAACE118-64EB-4175-AE00-BAE992D2F627}" startIndex="0" length="19"/>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4AB246-22D2-4509-B78C-4F7D29982C67}">
  <we:reference id="WA200005502" version="1.0.0.11" store="en-US" storeType="omex"/>
  <we:alternateReferences>
    <we:reference id="WA200005502" version="1.0.0.11" store="en-US" storeType="omex"/>
  </we:alternateReferences>
  <we:properties>
    <we:property name="docId" value="&quot;J-h3aIoORLNgVR4iCzIxL&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6" Type="http://schemas.openxmlformats.org/officeDocument/2006/relationships/hyperlink" Target="https://vantagecircle-my.sharepoint.com/:w:/p/garima_kayal/Ecs9BXm20KtIm1IVaNxjczcBurJOtXPTsD_n5GMx3HNppA?e=229xFd" TargetMode="External"/><Relationship Id="rId21" Type="http://schemas.openxmlformats.org/officeDocument/2006/relationships/hyperlink" Target="https://vantagecircle-my.sharepoint.com/:w:/p/garima_kayal/EQxUjjCCPV9BtItuaQzfoLoB-AiYac0gO438I6L6YL9C5w?e=0yggdE" TargetMode="External"/><Relationship Id="rId42" Type="http://schemas.openxmlformats.org/officeDocument/2006/relationships/hyperlink" Target="https://vantagecircle.sharepoint.com/sites/Solutions/Shared%20Documents/Apps/Microsoft%20Forms/Solution%20Request%20Form/Question/Screenshot%202025-09-11%20at%204.25.48%20PM_Debraj%20Gogoi.png" TargetMode="External"/><Relationship Id="rId47" Type="http://schemas.openxmlformats.org/officeDocument/2006/relationships/hyperlink" Target="https://vantagecircle.sharepoint.com/sites/Solutions/Shared%20Documents/Apps/Microsoft%20Forms/Solution%20Request%20Form/Question/Screenshot%202025-11-04%20at%202.36.18%20PM_Acme%2018.png" TargetMode="External"/><Relationship Id="rId63" Type="http://schemas.openxmlformats.org/officeDocument/2006/relationships/hyperlink" Target="https://vantagecircle-my.sharepoint.com/:w:/p/garima_kayal/IQA0jFBBnaxOQq0_IQVuPzKyAZTRmL67y5y13cKCS4F9Cv4?e=RMPJA4" TargetMode="External"/><Relationship Id="rId68" Type="http://schemas.openxmlformats.org/officeDocument/2006/relationships/hyperlink" Target="https://vantagecircle.sharepoint.com/sites/Solutions/_layouts/15/Doc.aspx?sourcedoc=%7B4BABB3DB-14C6-4CD6-B2B1-ED7AC7C90578%7D&amp;file=Client%20Requirement%20(1)_Aditi%20Sharma.xlsx&amp;action=default&amp;mobileredirect=true" TargetMode="External"/><Relationship Id="rId16" Type="http://schemas.openxmlformats.org/officeDocument/2006/relationships/hyperlink" Target="https://vantagecirclejira.atlassian.net/browse/VC-12266" TargetMode="External"/><Relationship Id="rId11" Type="http://schemas.openxmlformats.org/officeDocument/2006/relationships/hyperlink" Target="https://vantagecircle.sharepoint.com/sites/Solutions/_layouts/15/Doc.aspx?sourcedoc=%7B19081D4C-BA2A-4A50-BABD-697AA9DF7912%7D&amp;file=RnR_%20Aspect(Sheet1)_Abhisek%20Sharma.xlsx&amp;action=default&amp;mobileredirect=true" TargetMode="External"/><Relationship Id="rId24" Type="http://schemas.openxmlformats.org/officeDocument/2006/relationships/hyperlink" Target="https://vantagecirclejira.atlassian.net/wiki/pages/resumedraft.action?draftId=490569735" TargetMode="External"/><Relationship Id="rId32" Type="http://schemas.openxmlformats.org/officeDocument/2006/relationships/hyperlink" Target="https://vantagecircle-my.sharepoint.com/:b:/p/garima_kayal/EReGLJIVx_5GkehNGf0MKewBaZaKzGV2se36hR6v6rqqyQ?e=GiDKtD" TargetMode="External"/><Relationship Id="rId37" Type="http://schemas.openxmlformats.org/officeDocument/2006/relationships/hyperlink" Target="https://vantagecircle.sharepoint.com/sites/Solutions/_layouts/15/Doc.aspx?sourcedoc=%7B0ACDA0E0-42EA-4FA3-BF0B-B6707D5EB6B4%7D&amp;file=SOW%20R%26R_Abhisek%20Sharma.docx&amp;action=default&amp;mobileredirect=true" TargetMode="External"/><Relationship Id="rId40" Type="http://schemas.openxmlformats.org/officeDocument/2006/relationships/hyperlink" Target="https://vantagecircle.sharepoint.com/sites/Solutions/_layouts/15/Doc.aspx?sourcedoc=%7B7FCA2D01-E71A-45C7-8AB1-F3F2F677FD3D%7D&amp;file=Coforge_Platform%20Details_Abhisek%20Sharma.xlsx&amp;action=default&amp;mobileredirect=true" TargetMode="External"/><Relationship Id="rId45" Type="http://schemas.openxmlformats.org/officeDocument/2006/relationships/hyperlink" Target="https://vantagecircle.sharepoint.com/sites/Solutions/_layouts/15/Doc.aspx?sourcedoc=%7BC07A14A4-F364-4D86-9818-339A8B349786%7D&amp;file=Award%20Workflow%20references%20Coromandel%20Internat_Parshi%20Phukan.xlsx&amp;action=default&amp;mobileredirect=true;%20https://vantagecircle.sharepoint.com/sites/Solutions/_layouts/15/Doc.aspx?sourcedoc=%7B03B369D1-A134-43E0-AF3D-F8101992DC3C%7D&amp;file=Award%20Workflow%20references%20Coromandel%20Internat%202_Parshi%20Phukan.xlsx&amp;action=default&amp;mobileredirect=true;%20https://vantagecircle.sharepoint.com/sites/Solutions/_layouts/15/Doc.aspx?sourcedoc=%7BAD029E89-DA1E-46C7-B934-3FC3F9E0B2A4%7D&amp;file=Award%20Workflow%20references%20Coromandel%20Internat%203_Parshi%20Phukan.xlsx&amp;action=default&amp;mobileredirect=true;%20https://vantagecircle.sharepoint.com/sites/Solutions/_layouts/15/Doc.aspx?sourcedoc=%7BBA9CC7F4-4082-4AE1-8A8C-1E2EE881CCB8%7D&amp;file=Award%20Workflow%20references%20Coromandel%20Internat%204_Parshi%20Phukan.xlsx&amp;action=default&amp;mobileredirect=true;%20https://vantagecircle.sharepoint.com/sites/Solutions/_layouts/15/Doc.aspx?sourcedoc=%7B36CA273F-768E-4889-A8BF-BF09B728871C%7D&amp;file=Award%20Workflow%20references%20Coromandel%20Internat%205_Parshi%20Phukan.xlsx&amp;action=default&amp;mobileredirect=true;%20https://vantagecircle.sharepoint.com/sites/Solutions/_layouts/15/Doc.aspx?sourcedoc=%7BF57EEDD3-A886-412D-97F8-19B36CE5F390%7D&amp;file=Award%20Workflow%20references%20Coromandel%20Internat%206_Parshi%20Phukan.xlsx&amp;action=default&amp;mobileredirect=true;%20https://vantagecircle.sharepoint.com/sites/Solutions/_layouts/15/Doc.aspx?sourcedoc=%7B2DD58C90-93AE-474B-986B-6B30F4060D80%7D&amp;file=RR%20%20Monetary%20Awards%20Conslidated%20(2)_Parshi%20Phukan.xlsx&amp;action=default&amp;mobileredirect=true" TargetMode="External"/><Relationship Id="rId53" Type="http://schemas.openxmlformats.org/officeDocument/2006/relationships/hyperlink" Target="https://vantagecircle.sharepoint.com/sites/Solutions/Shared%20Documents/Apps/Microsoft%20Forms/Solution%20Request%20Form/Question/File%20upload%20process%20(1)_Nilotpal%20Roy.pdf" TargetMode="External"/><Relationship Id="rId58" Type="http://schemas.openxmlformats.org/officeDocument/2006/relationships/hyperlink" Target="https://vantagecirclejira.atlassian.net/browse/VC-14635" TargetMode="External"/><Relationship Id="rId66" Type="http://schemas.openxmlformats.org/officeDocument/2006/relationships/hyperlink" Target="https://vantagecircle.sharepoint.com/sites/Solutions/_layouts/15/Doc.aspx?sourcedoc=%7B72BCD311-AF95-4039-871D-4BFC65790D49%7D&amp;file=Nomination_Submission_Sample%20-%20SCM_Kaushik%20Bhuyan.xlsx&amp;action=default&amp;mobileredirect=true" TargetMode="External"/><Relationship Id="rId74" Type="http://schemas.openxmlformats.org/officeDocument/2006/relationships/printerSettings" Target="../printerSettings/printerSettings1.bin"/><Relationship Id="rId79" Type="http://schemas.microsoft.com/office/2019/04/relationships/documenttask" Target="../documenttasks/documenttask1.xml"/><Relationship Id="rId5" Type="http://schemas.openxmlformats.org/officeDocument/2006/relationships/hyperlink" Target="https://vantagecirclejira.atlassian.net/browse/VC-12698" TargetMode="External"/><Relationship Id="rId61" Type="http://schemas.openxmlformats.org/officeDocument/2006/relationships/hyperlink" Target="https://vantagecircle-my.sharepoint.com/:w:/p/garima_kayal/IQBCCEZYlW6ISZUkmS7Tb0ePAdiuJcQeXUBTgcsR8mRSqf4?e=0ENQpM" TargetMode="External"/><Relationship Id="rId19" Type="http://schemas.openxmlformats.org/officeDocument/2006/relationships/hyperlink" Target="https://vantagecircle-my.sharepoint.com/:b:/p/garima_kayal/EVLxF78KvkZAlGVWOipxvn0BYV3-dh3jmsY6Xnl6PgLIwg?e=NLJbgx" TargetMode="External"/><Relationship Id="rId14" Type="http://schemas.openxmlformats.org/officeDocument/2006/relationships/hyperlink" Target="https://vantagecircle.sharepoint.com/sites/Solutions/_layouts/15/Doc.aspx?sourcedoc=%7B8AAE1F20-F018-4554-8D44-6678756825FD%7D&amp;file=KOTAK%20%20VENDOR%20DISCUSSION%20(004)_Ankit%20Mehta.xlsx&amp;action=default&amp;mobileredirect=true" TargetMode="External"/><Relationship Id="rId22" Type="http://schemas.openxmlformats.org/officeDocument/2006/relationships/hyperlink" Target="mailto:nitika.anand@vantagecircle.com" TargetMode="External"/><Relationship Id="rId27" Type="http://schemas.openxmlformats.org/officeDocument/2006/relationships/hyperlink" Target="https://vantagecircle-my.sharepoint.com/:b:/p/garima_kayal/EU3qKOYD02pAoAB9psQYrioBXUQ8CDONY03-rVN7cdgPAA?e=hYC53S" TargetMode="External"/><Relationship Id="rId30" Type="http://schemas.openxmlformats.org/officeDocument/2006/relationships/hyperlink" Target="https://vantagecircle.sharepoint.com/sites/Solutions/Shared%20Documents/Apps/Microsoft%20Forms/Solution%20Request%20Form/Question/image%20(13)_Nashreen%20Akhtar.png;%20https:/vantagecircle.sharepoint.com/sites/Solutions/Shared%20Documents/Apps/Microsoft%20Forms/Solution%20Request%20Form/Question/image%20(14)_Nashreen%20Akhtar.png" TargetMode="External"/><Relationship Id="rId35" Type="http://schemas.openxmlformats.org/officeDocument/2006/relationships/hyperlink" Target="https://vantagecircle-my.sharepoint.com/:x:/p/aditi_sharma/ESzJGw4aYo1GmJZVTbYr0hsBdQVo0RDZ15J0O1sgCV63YQ?e=QBMp8J" TargetMode="External"/><Relationship Id="rId43" Type="http://schemas.openxmlformats.org/officeDocument/2006/relationships/hyperlink" Target="https://vantagecirclejira.atlassian.net/browse/VC-13382" TargetMode="External"/><Relationship Id="rId48" Type="http://schemas.openxmlformats.org/officeDocument/2006/relationships/hyperlink" Target="https://vantagecirclejira.atlassian.net/browse/VC-13985" TargetMode="External"/><Relationship Id="rId56" Type="http://schemas.openxmlformats.org/officeDocument/2006/relationships/hyperlink" Target="https://vantagecircle-my.sharepoint.com/:w:/p/garima_kayal/IQDN3-FdZbkXT7BoF5PCQQh6AWpStpOuo3Zgzid9iunfdi0?e=zzVvaT" TargetMode="External"/><Relationship Id="rId64" Type="http://schemas.openxmlformats.org/officeDocument/2006/relationships/hyperlink" Target="https://vantagecirclejira.atlassian.net/browse/VC-15035" TargetMode="External"/><Relationship Id="rId69" Type="http://schemas.openxmlformats.org/officeDocument/2006/relationships/hyperlink" Target="https://vantagecirclejira.atlassian.net/browse/VC-15858" TargetMode="External"/><Relationship Id="rId77" Type="http://schemas.openxmlformats.org/officeDocument/2006/relationships/comments" Target="../comments1.xml"/><Relationship Id="rId8" Type="http://schemas.openxmlformats.org/officeDocument/2006/relationships/hyperlink" Target="https://vantagecirclejira.atlassian.net/browse/VC-12158" TargetMode="External"/><Relationship Id="rId51" Type="http://schemas.openxmlformats.org/officeDocument/2006/relationships/hyperlink" Target="https://vantagecirclejira.atlassian.net/browse/VC-14035" TargetMode="External"/><Relationship Id="rId72" Type="http://schemas.openxmlformats.org/officeDocument/2006/relationships/hyperlink" Target="https://vantagecircle.sharepoint.com/sites/Solutions/_layouts/15/Doc.aspx?sourcedoc=%7BF52C588E-F849-4165-B1E1-DCF737054C9E%7D&amp;file=Octapharma%20Plasma%20Reward%20Recognition%20Program_Prashansa%20Gokhale.xlsx&amp;action=default&amp;mobileredirect=true;%20https://vantagecircle.sharepoint.com/sites/Solutions/_layouts/15/Doc.aspx?sourcedoc=%7BCEB52EFA-2FD3-4DBB-9117-58D098C7F956%7D&amp;file=Vendor%20Briefing%20Overview_Prashansa%20Gokhale.docx&amp;action=default&amp;mobileredirect=true" TargetMode="External"/><Relationship Id="rId80" Type="http://schemas.microsoft.com/office/2019/04/relationships/namedSheetView" Target="../namedSheetViews/namedSheetView1.xml"/><Relationship Id="rId3" Type="http://schemas.openxmlformats.org/officeDocument/2006/relationships/hyperlink" Target="https://vantagecircle-my.sharepoint.com/:b:/p/garima_kayal/EVP4Lk2uV6RCvDFixmr-l8sBXma0PKbxAU4g0V776dr2iA?e=HJXGAv" TargetMode="External"/><Relationship Id="rId12" Type="http://schemas.openxmlformats.org/officeDocument/2006/relationships/hyperlink" Target="https://vantagecircle-my.sharepoint.com/:p:/p/garima_kayal/Efr2ByMti7hMgB1HH6lULpIBcDWBGlzQN2678dIvpVbxMw?e=PHSNAJ" TargetMode="External"/><Relationship Id="rId17" Type="http://schemas.openxmlformats.org/officeDocument/2006/relationships/hyperlink" Target="https://vantagecirclejira.atlassian.net/browse/VC-12259" TargetMode="External"/><Relationship Id="rId25" Type="http://schemas.openxmlformats.org/officeDocument/2006/relationships/hyperlink" Target="mailto:nitika.anand@vantagecircle.com" TargetMode="External"/><Relationship Id="rId33" Type="http://schemas.openxmlformats.org/officeDocument/2006/relationships/hyperlink" Target="https://vantagecirclejira.atlassian.net/browse/VC-12222" TargetMode="External"/><Relationship Id="rId38" Type="http://schemas.openxmlformats.org/officeDocument/2006/relationships/hyperlink" Target="mailto:acme18@vantagecircle.com" TargetMode="External"/><Relationship Id="rId46" Type="http://schemas.openxmlformats.org/officeDocument/2006/relationships/hyperlink" Target="https://vantagecircle.sharepoint.com/sites/Solutions/_layouts/15/Doc.aspx?sourcedoc=%7BD6D6B878-4CE8-46B7-A9C8-EFC34D4A21AC%7D&amp;file=Observations%20and%20Questions_Abhisek%20Sharma.docx&amp;action=default&amp;mobileredirect=true" TargetMode="External"/><Relationship Id="rId59" Type="http://schemas.openxmlformats.org/officeDocument/2006/relationships/hyperlink" Target="https://vantagecirclejira.atlassian.net/browse/VC-14237" TargetMode="External"/><Relationship Id="rId67" Type="http://schemas.openxmlformats.org/officeDocument/2006/relationships/hyperlink" Target="https://vantagecircle.sharepoint.com/sites/Solutions/_layouts/15/Doc.aspx?sourcedoc=%7BBCCAB9D2-25C8-4B0E-BAB8-18DC2340728E%7D&amp;file=RFP_Loyalty_11_03_26_Ankit%20Mehta.docx&amp;action=default&amp;mobileredirect=true" TargetMode="External"/><Relationship Id="rId20" Type="http://schemas.openxmlformats.org/officeDocument/2006/relationships/hyperlink" Target="https://vantagecircle-my.sharepoint.com/:x:/p/gyanangkush_borgohain/EWPbIk0NLtNIlVW87luGw0QB7D6yhA_7tg0d0aa2WkMV5Q?e=1gVs2Q" TargetMode="External"/><Relationship Id="rId41" Type="http://schemas.openxmlformats.org/officeDocument/2006/relationships/hyperlink" Target="https://vantagecircle.sharepoint.com/sites/Solutions/Shared%20Documents/Apps/Microsoft%20Forms/Solution%20Request%20Form/Question/image001%20(20)_Kamalika%20Phukan.png" TargetMode="External"/><Relationship Id="rId54" Type="http://schemas.openxmlformats.org/officeDocument/2006/relationships/hyperlink" Target="https://vantagecircle-my.sharepoint.com/:w:/p/garima_kayal/IQAYnfDp_bVyQLazzMyYtg9vAbvnwyKuHvcxPuAyf4gI9BM?e=Sm5zYN" TargetMode="External"/><Relationship Id="rId62" Type="http://schemas.openxmlformats.org/officeDocument/2006/relationships/hyperlink" Target="https://vantagecircle-my.sharepoint.com/:v:/p/garima_kayal/IQBONcDkFp6_TI7iQMwHoHimAcMwg1djV2vc53i67LBo3_o?nav=eyJyZWZlcnJhbEluZm8iOnsicmVmZXJyYWxBcHAiOiJPbmVEcml2ZUZvckJ1c2luZXNzIiwicmVmZXJyYWxBcHBQbGF0Zm9ybSI6IldlYiIsInJlZmVycmFsTW9kZSI6InZpZXciLCJyZWZlcnJhbFZpZXciOiJNeUZpbGVzTGlua0NvcHkifX0&amp;e=oan3FI" TargetMode="External"/><Relationship Id="rId70" Type="http://schemas.openxmlformats.org/officeDocument/2006/relationships/hyperlink" Target="https://vantagecircle.sharepoint.com/sites/Solutions/_layouts/15/Doc.aspx?sourcedoc=%7B3CB1E0D3-CD7C-4EAD-9AD4-F35E3451CEBB%7D&amp;file=Taj%20Experience%20Approach_Rizwan%20Zia.docx&amp;action=default&amp;mobileredirect=true" TargetMode="External"/><Relationship Id="rId75" Type="http://schemas.openxmlformats.org/officeDocument/2006/relationships/vmlDrawing" Target="../drawings/vmlDrawing1.vml"/><Relationship Id="rId1" Type="http://schemas.openxmlformats.org/officeDocument/2006/relationships/hyperlink" Target="https://vantagecircle-my.sharepoint.com/:b:/p/garima_kayal/ERQgH5U2G_hMi5kpGPUcHHoB7qCSqbarBpjucS_M7Bqotg?e=aLAQe5" TargetMode="External"/><Relationship Id="rId6" Type="http://schemas.openxmlformats.org/officeDocument/2006/relationships/hyperlink" Target="https://vantagecirclejira.atlassian.net/browse/VC-12588" TargetMode="External"/><Relationship Id="rId15" Type="http://schemas.openxmlformats.org/officeDocument/2006/relationships/hyperlink" Target="https://vantagecircle-my.sharepoint.com/:b:/p/garima_kayal/EfpunMllkBRCs9R8Y9C5OBMBWmEM8pureco73AiFRizknQ?e=BR0Clk" TargetMode="External"/><Relationship Id="rId23" Type="http://schemas.openxmlformats.org/officeDocument/2006/relationships/hyperlink" Target="https://vantagecircle-my.sharepoint.com/:w:/p/garima_kayal/EduqAam23glMjl7EJMC4WgwBQxktWuV7htJ04U3D41nciA?e=pnF1s1" TargetMode="External"/><Relationship Id="rId28" Type="http://schemas.openxmlformats.org/officeDocument/2006/relationships/hyperlink" Target="https://vantagecircle-my.sharepoint.com/:p:/p/garima_kayal/EWYfpIrwAXpPlxmROkOK_98BYm7Cy91vNg4fhWI_sS2WUg?e=c8rYmi" TargetMode="External"/><Relationship Id="rId36" Type="http://schemas.openxmlformats.org/officeDocument/2006/relationships/hyperlink" Target="https://vantagecircle.sharepoint.com/sites/Solutions/_layouts/15/Doc.aspx?sourcedoc=%7B4A84EB5B-DBB2-4D69-BFA7-30D759759F86%7D&amp;file=Example%20of%20Monthly%20Recognition%20Report%20(1)_Kamalika%20Phukan.xlsx&amp;action=default&amp;mobileredirect=true" TargetMode="External"/><Relationship Id="rId49" Type="http://schemas.openxmlformats.org/officeDocument/2006/relationships/hyperlink" Target="https://vantagecircle.sharepoint.com/sites/Solutions/_layouts/15/Doc.aspx?sourcedoc=%7BE4FE72FA-2351-44CE-BD4D-2430EFA1A09A%7D&amp;file=Gamified%20Onboarding%20Exp%20-%20SOW_Abhisek%20Sharma.docx&amp;action=default&amp;mobileredirect=true" TargetMode="External"/><Relationship Id="rId57" Type="http://schemas.openxmlformats.org/officeDocument/2006/relationships/hyperlink" Target="https://vantagecircle-my.sharepoint.com/:w:/p/garima_kayal/IQA6azwjJr6gRa6MlefHC-OcAYBew1VUTxPv5zPWmJvOZTg?e=GduGaL" TargetMode="External"/><Relationship Id="rId10" Type="http://schemas.openxmlformats.org/officeDocument/2006/relationships/hyperlink" Target="https://vantagecircle.sharepoint.com/sites/Solutions/_layouts/15/Doc.aspx?sourcedoc=%7B934CC2C1-1211-4B38-AB2C-21E759D1B4F1%7D&amp;file=TCS_Vantage_Circle_SOW_Abhishek%20Singh.docx&amp;action=default&amp;mobileredirect=true" TargetMode="External"/><Relationship Id="rId31" Type="http://schemas.openxmlformats.org/officeDocument/2006/relationships/hyperlink" Target="https://vantagecircle-my.sharepoint.com/:b:/p/garima_kayal/ETR1ukJtIHJNuQ6IUgrghAsBUfdnAR-VBwzGLPOj2ito6w?e=CPnEgy" TargetMode="External"/><Relationship Id="rId44" Type="http://schemas.openxmlformats.org/officeDocument/2006/relationships/hyperlink" Target="https://vantagecirclejira.atlassian.net/browse/VC-13419" TargetMode="External"/><Relationship Id="rId52" Type="http://schemas.openxmlformats.org/officeDocument/2006/relationships/hyperlink" Target="https://vantagecircle.sharepoint.com/sites/Solutions/_layouts/15/Doc.aspx?sourcedoc=%7BE44E8FAC-9E6C-4EE6-A3E1-45CB13309041%7D&amp;file=Integration%20of%20Infanion%20Employee%20Benefit%20Poin_Kaushik%20Sarma.docx&amp;action=default&amp;mobileredirect=true" TargetMode="External"/><Relationship Id="rId60" Type="http://schemas.openxmlformats.org/officeDocument/2006/relationships/hyperlink" Target="https://vantagecircle-my.sharepoint.com/:w:/p/garima_kayal/IQAzqVVG14PoSIkihiIa43OoAZwHeiLaeCqxEaTDDz4Tncw?e=2vpT0I" TargetMode="External"/><Relationship Id="rId65" Type="http://schemas.openxmlformats.org/officeDocument/2006/relationships/hyperlink" Target="https://vantagecircle.sharepoint.com/sites/Solutions/Shared%20Documents/Apps/Microsoft%20Forms/Solution%20Request%20Form/Question/Screenshot%202026-03-13%20at%204.23.55%E2%80%AFPM_Rakesh%20Das.png" TargetMode="External"/><Relationship Id="rId73" Type="http://schemas.openxmlformats.org/officeDocument/2006/relationships/hyperlink" Target="https://vantagecircle.sharepoint.com/sites/Solutions/_layouts/15/Doc.aspx?sourcedoc=%7B246C18BD-7D94-44E3-8455-B68D55684FE5%7D&amp;file=Servier%20ME_Program%20Design_Final_Post%20discussi_Saurabh%20Deshpande.pptx&amp;action=edit&amp;mobileredirect=true" TargetMode="External"/><Relationship Id="rId78" Type="http://schemas.microsoft.com/office/2017/10/relationships/threadedComment" Target="../threadedComments/threadedComment1.xml"/><Relationship Id="rId4" Type="http://schemas.openxmlformats.org/officeDocument/2006/relationships/hyperlink" Target="https://vantagecircle.sharepoint.com/sites/Solutions/Shared%20Documents/Apps/Microsoft%20Forms/Solution%20Request%20Form/Question/Screenshot%202025-07-30%20at%2012.09.54%20PM_Debraj%20Gogoi.png" TargetMode="External"/><Relationship Id="rId9" Type="http://schemas.openxmlformats.org/officeDocument/2006/relationships/hyperlink" Target="https://vantagecircle.sharepoint.com/sites/Solutions/_layouts/15/Doc.aspx?sourcedoc=%7BDDD5E6D0-335D-4CF6-A24E-1A9CC147AD9A%7D&amp;file=Bosch%20Entities%20Workflows_Preetisha%20Bordoloi.xlsx&amp;action=default&amp;mobileredirect=true" TargetMode="External"/><Relationship Id="rId13" Type="http://schemas.openxmlformats.org/officeDocument/2006/relationships/hyperlink" Target="https://vantagecircle.sharepoint.com/:x:/s/Solutions/ESAfrooY8FRFjURmeHVoJf0BtfXHpkgU9Vd9-G3EluhpDg?e=H0PyXC" TargetMode="External"/><Relationship Id="rId18" Type="http://schemas.openxmlformats.org/officeDocument/2006/relationships/hyperlink" Target="https://vantagecirclejira.atlassian.net/browse/VC-11836" TargetMode="External"/><Relationship Id="rId39" Type="http://schemas.openxmlformats.org/officeDocument/2006/relationships/hyperlink" Target="https://vantagecircle.sharepoint.com/:w:/s/Solutions/EeCgzQrqQqNPvwu2cH1etrQBeq4Q85dpKdBHfvzIse3R7A?CID=435feb9e-4388-b3c8-bf33-618350dfed53%20.%20We%20have%20added%20our%20comments%20in%20the%20attached%20link" TargetMode="External"/><Relationship Id="rId34" Type="http://schemas.openxmlformats.org/officeDocument/2006/relationships/hyperlink" Target="https://vantagecircle.sharepoint.com/sites/Solutions/_layouts/15/Doc.aspx?sourcedoc=%7B40E010D9-8A44-499B-8652-D725F441C7F4%7D&amp;file=RR%20FRAMEWORK%20SUMMARY%20(005)_Piyush%20Mahajan.pptx&amp;action=edit&amp;mobileredirect=true" TargetMode="External"/><Relationship Id="rId50" Type="http://schemas.openxmlformats.org/officeDocument/2006/relationships/hyperlink" Target="https://vantagecircle.sharepoint.com/sites/Solutions/_layouts/15/Doc.aspx?sourcedoc=%7B6F665EFE-F640-4D04-800F-1D7733DF0798%7D&amp;file=Sample_VantageCi12Nov2025_Kunal%20Maheshwari.xlsx&amp;action=default&amp;mobileredirect=true" TargetMode="External"/><Relationship Id="rId55" Type="http://schemas.openxmlformats.org/officeDocument/2006/relationships/hyperlink" Target="https://vantagecircle-my.sharepoint.com/:p:/p/garima_kayal/IQDaFPbomZukSq-makp6ALPfAUMzg28KBxHbH7Tz7HxFJPQ?e=SFfXel" TargetMode="External"/><Relationship Id="rId76" Type="http://schemas.openxmlformats.org/officeDocument/2006/relationships/table" Target="../tables/table1.xml"/><Relationship Id="rId7" Type="http://schemas.openxmlformats.org/officeDocument/2006/relationships/hyperlink" Target="https://vantagecirclejira.atlassian.net/browse/VC-12530" TargetMode="External"/><Relationship Id="rId71" Type="http://schemas.openxmlformats.org/officeDocument/2006/relationships/hyperlink" Target="https://vantagecircle.sharepoint.com/sites/Solutions/_layouts/15/Doc.aspx?sourcedoc=%7B0AD59154-D68A-41F3-9E6C-81DBBE720A4C%7D&amp;file=Godrej%20Capital%20Questionnaire_Abhisek%20Sharma.xlsx&amp;action=default&amp;mobileredirect=true" TargetMode="External"/><Relationship Id="rId2" Type="http://schemas.openxmlformats.org/officeDocument/2006/relationships/hyperlink" Target="https://vantagecircle-my.sharepoint.com/:b:/p/garima_kayal/EenSkxmhQ-hMqgkM9J0-oG8BP9OGHt6d5j_ncmkAcbVRhg?e=1rKhe6" TargetMode="External"/><Relationship Id="rId29" Type="http://schemas.openxmlformats.org/officeDocument/2006/relationships/hyperlink" Target="https://vantagecircle-my.sharepoint.com/:w:/p/garima_kayal/EcGLYwoalypKo9QoGAz4KgQBBd6h2Zj4sl9UV4w3ggBFJg?e=20eV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6"/>
  <sheetViews>
    <sheetView tabSelected="1" workbookViewId="0">
      <pane ySplit="1" topLeftCell="S252" activePane="bottomLeft" state="frozen"/>
      <selection pane="bottomLeft" activeCell="M61" sqref="M61"/>
    </sheetView>
  </sheetViews>
  <sheetFormatPr defaultColWidth="9.140625" defaultRowHeight="83.25" customHeight="1"/>
  <cols>
    <col min="1" max="1" width="11.85546875" style="2" customWidth="1"/>
    <col min="2" max="2" width="3.5703125" style="2" customWidth="1"/>
    <col min="3" max="3" width="14.7109375" style="60" customWidth="1"/>
    <col min="4" max="4" width="15.5703125" style="2" customWidth="1"/>
    <col min="5" max="5" width="12" style="1" customWidth="1"/>
    <col min="6" max="6" width="13.5703125" style="2" customWidth="1"/>
    <col min="7" max="7" width="14.5703125" style="2" customWidth="1"/>
    <col min="8" max="8" width="21.140625" style="2" customWidth="1"/>
    <col min="9" max="9" width="21" style="2" customWidth="1"/>
    <col min="10" max="10" width="52.28515625" style="2" customWidth="1"/>
    <col min="11" max="11" width="12" style="10" customWidth="1"/>
    <col min="12" max="12" width="9" style="2" customWidth="1"/>
    <col min="13" max="13" width="50.85546875" style="2" customWidth="1"/>
    <col min="14" max="14" width="19" style="2" customWidth="1"/>
    <col min="15" max="15" width="9.85546875" style="2" customWidth="1"/>
    <col min="16" max="16" width="10.42578125" style="2" customWidth="1"/>
    <col min="17" max="17" width="9.42578125" style="2" customWidth="1"/>
    <col min="18" max="18" width="8.85546875" style="2" customWidth="1"/>
    <col min="19" max="19" width="34.28515625" style="2" customWidth="1"/>
    <col min="20" max="20" width="19" style="2" customWidth="1"/>
    <col min="21" max="21" width="10.5703125" style="2" customWidth="1"/>
    <col min="22" max="22" width="16.5703125" style="2" customWidth="1"/>
    <col min="23" max="23" width="16.140625" style="2" customWidth="1"/>
    <col min="24" max="24" width="21.42578125" style="17" customWidth="1"/>
    <col min="25" max="25" width="12.140625" style="2" customWidth="1"/>
    <col min="26" max="26" width="9.140625" style="1"/>
    <col min="27" max="28" width="9.140625" style="2"/>
    <col min="29" max="29" width="11.85546875" style="2" customWidth="1"/>
    <col min="30" max="30" width="15.28515625" style="2" customWidth="1"/>
    <col min="31" max="31" width="15.140625" style="2" customWidth="1"/>
    <col min="32" max="32" width="11.5703125" style="2" customWidth="1"/>
    <col min="33" max="33" width="10.42578125" style="2" customWidth="1"/>
    <col min="34" max="16384" width="9.140625" style="2"/>
  </cols>
  <sheetData>
    <row r="1" spans="1:33" ht="83.25" customHeight="1">
      <c r="A1" s="2" t="s">
        <v>0</v>
      </c>
      <c r="B1" s="2" t="s">
        <v>1</v>
      </c>
      <c r="C1" s="60" t="s">
        <v>2</v>
      </c>
      <c r="D1" s="2" t="s">
        <v>3</v>
      </c>
      <c r="E1" s="1" t="s">
        <v>4</v>
      </c>
      <c r="F1" s="2" t="s">
        <v>5</v>
      </c>
      <c r="G1" s="2" t="s">
        <v>6</v>
      </c>
      <c r="H1" s="2" t="s">
        <v>7</v>
      </c>
      <c r="I1" s="2" t="s">
        <v>8</v>
      </c>
      <c r="J1" s="2" t="s">
        <v>9</v>
      </c>
      <c r="K1" s="10" t="s">
        <v>10</v>
      </c>
      <c r="L1" s="2" t="s">
        <v>11</v>
      </c>
      <c r="M1" s="2" t="s">
        <v>12</v>
      </c>
      <c r="N1" s="2" t="s">
        <v>13</v>
      </c>
      <c r="O1" s="2" t="s">
        <v>14</v>
      </c>
      <c r="P1" s="2" t="s">
        <v>15</v>
      </c>
      <c r="Q1" s="2" t="s">
        <v>16</v>
      </c>
      <c r="R1" s="2" t="s">
        <v>17</v>
      </c>
      <c r="S1" s="2" t="s">
        <v>18</v>
      </c>
      <c r="T1" s="2" t="s">
        <v>19</v>
      </c>
      <c r="U1" s="2" t="s">
        <v>20</v>
      </c>
      <c r="V1" s="2" t="s">
        <v>21</v>
      </c>
      <c r="W1" s="2" t="s">
        <v>22</v>
      </c>
      <c r="X1" s="17" t="s">
        <v>23</v>
      </c>
      <c r="Y1" s="2" t="s">
        <v>24</v>
      </c>
      <c r="Z1" s="2" t="s">
        <v>25</v>
      </c>
      <c r="AA1" s="2" t="s">
        <v>26</v>
      </c>
      <c r="AB1" s="2" t="s">
        <v>27</v>
      </c>
      <c r="AC1" s="2" t="s">
        <v>28</v>
      </c>
      <c r="AD1" s="1" t="s">
        <v>29</v>
      </c>
      <c r="AE1" s="2" t="s">
        <v>30</v>
      </c>
      <c r="AF1" s="52" t="s">
        <v>31</v>
      </c>
      <c r="AG1" s="52" t="s">
        <v>32</v>
      </c>
    </row>
    <row r="2" spans="1:33" s="12" customFormat="1" ht="83.25" customHeight="1">
      <c r="A2" s="11">
        <v>1</v>
      </c>
      <c r="B2" s="11"/>
      <c r="C2" s="61"/>
      <c r="D2" s="13">
        <v>45733</v>
      </c>
      <c r="E2" s="14">
        <v>45733</v>
      </c>
      <c r="F2" s="4"/>
      <c r="G2" s="4" t="s">
        <v>33</v>
      </c>
      <c r="H2" s="4" t="s">
        <v>34</v>
      </c>
      <c r="I2" s="5" t="s">
        <v>35</v>
      </c>
      <c r="J2" s="4" t="s">
        <v>36</v>
      </c>
      <c r="K2" s="15" t="s">
        <v>37</v>
      </c>
      <c r="L2" s="7" t="s">
        <v>38</v>
      </c>
      <c r="M2" s="4" t="s">
        <v>39</v>
      </c>
      <c r="O2" s="12">
        <v>1000</v>
      </c>
      <c r="P2" s="4" t="s">
        <v>40</v>
      </c>
      <c r="Q2" s="12" t="s">
        <v>41</v>
      </c>
      <c r="R2" s="2"/>
      <c r="S2" s="4"/>
      <c r="U2" s="4"/>
      <c r="V2" s="4"/>
      <c r="W2" s="4" t="s">
        <v>42</v>
      </c>
      <c r="X2" s="13"/>
      <c r="Y2" s="4"/>
      <c r="Z2" s="4"/>
      <c r="AA2" s="4" t="s">
        <v>43</v>
      </c>
      <c r="AB2" s="4"/>
      <c r="AC2" s="4" t="s">
        <v>44</v>
      </c>
      <c r="AD2" s="14">
        <v>45735</v>
      </c>
      <c r="AE2" s="16" t="s">
        <v>45</v>
      </c>
      <c r="AG2" s="12" t="s">
        <v>46</v>
      </c>
    </row>
    <row r="3" spans="1:33" ht="83.25" customHeight="1">
      <c r="A3" s="2">
        <v>2</v>
      </c>
      <c r="D3" s="1">
        <v>45735</v>
      </c>
      <c r="E3" s="14">
        <v>45735</v>
      </c>
      <c r="F3" s="3"/>
      <c r="G3" s="3" t="s">
        <v>47</v>
      </c>
      <c r="H3" s="3" t="s">
        <v>48</v>
      </c>
      <c r="I3" s="3" t="s">
        <v>49</v>
      </c>
      <c r="J3" s="6" t="s">
        <v>50</v>
      </c>
      <c r="K3" s="15" t="s">
        <v>51</v>
      </c>
      <c r="L3" s="7" t="s">
        <v>38</v>
      </c>
      <c r="M3" s="3" t="s">
        <v>52</v>
      </c>
      <c r="P3" s="3"/>
      <c r="S3" s="3"/>
      <c r="U3" s="3"/>
      <c r="V3" s="3"/>
      <c r="W3" s="3"/>
      <c r="Y3" s="3"/>
      <c r="Z3" s="3"/>
      <c r="AA3" s="4" t="s">
        <v>43</v>
      </c>
      <c r="AB3" s="3"/>
      <c r="AC3" s="4" t="s">
        <v>53</v>
      </c>
      <c r="AD3" s="1">
        <v>45736</v>
      </c>
      <c r="AE3" s="16" t="s">
        <v>54</v>
      </c>
      <c r="AG3" s="2" t="s">
        <v>46</v>
      </c>
    </row>
    <row r="4" spans="1:33" ht="83.25" customHeight="1">
      <c r="A4" s="2">
        <v>3</v>
      </c>
      <c r="D4" s="17">
        <v>45728</v>
      </c>
      <c r="E4" s="14">
        <v>45729</v>
      </c>
      <c r="F4" s="3"/>
      <c r="G4" s="3" t="s">
        <v>55</v>
      </c>
      <c r="H4" s="3" t="s">
        <v>56</v>
      </c>
      <c r="I4" s="3" t="s">
        <v>57</v>
      </c>
      <c r="J4" s="3" t="s">
        <v>58</v>
      </c>
      <c r="K4" s="15" t="s">
        <v>59</v>
      </c>
      <c r="L4" s="7" t="s">
        <v>60</v>
      </c>
      <c r="M4" s="3" t="s">
        <v>61</v>
      </c>
      <c r="P4" s="3"/>
      <c r="S4" s="3"/>
      <c r="U4" s="3"/>
      <c r="V4" s="3"/>
      <c r="W4" s="3"/>
      <c r="Y4" s="3"/>
      <c r="Z4" s="3"/>
      <c r="AA4" s="4" t="s">
        <v>43</v>
      </c>
      <c r="AB4" s="3"/>
      <c r="AC4" s="4" t="s">
        <v>44</v>
      </c>
      <c r="AD4" s="1">
        <v>45729</v>
      </c>
      <c r="AE4" s="16" t="s">
        <v>45</v>
      </c>
      <c r="AG4" s="2" t="s">
        <v>46</v>
      </c>
    </row>
    <row r="5" spans="1:33" ht="83.25" customHeight="1">
      <c r="A5" s="2">
        <v>4</v>
      </c>
      <c r="D5" s="17">
        <v>45731</v>
      </c>
      <c r="E5" s="14">
        <v>45731</v>
      </c>
      <c r="F5" s="3"/>
      <c r="G5" s="3"/>
      <c r="H5" s="3" t="s">
        <v>62</v>
      </c>
      <c r="I5" s="7" t="s">
        <v>63</v>
      </c>
      <c r="J5" s="3" t="s">
        <v>64</v>
      </c>
      <c r="K5" s="15" t="s">
        <v>65</v>
      </c>
      <c r="L5" s="7" t="s">
        <v>66</v>
      </c>
      <c r="M5" s="3" t="s">
        <v>67</v>
      </c>
      <c r="N5" s="71"/>
      <c r="P5" s="3"/>
      <c r="S5" s="3"/>
      <c r="T5" s="71"/>
      <c r="U5" s="3"/>
      <c r="V5" s="3"/>
      <c r="W5" s="3"/>
      <c r="Y5" s="72" t="s">
        <v>68</v>
      </c>
      <c r="Z5" s="3"/>
      <c r="AA5" s="4" t="s">
        <v>69</v>
      </c>
      <c r="AB5" s="3"/>
      <c r="AC5" s="4" t="s">
        <v>44</v>
      </c>
      <c r="AD5" s="1">
        <v>45861</v>
      </c>
      <c r="AE5" s="16" t="s">
        <v>45</v>
      </c>
      <c r="AF5" s="2" t="s">
        <v>70</v>
      </c>
      <c r="AG5" s="2" t="s">
        <v>71</v>
      </c>
    </row>
    <row r="6" spans="1:33" ht="83.25" customHeight="1">
      <c r="A6" s="18">
        <v>5</v>
      </c>
      <c r="B6" s="18"/>
      <c r="C6" s="62">
        <v>45741.492129629602</v>
      </c>
      <c r="D6" s="23">
        <v>45741.515347222201</v>
      </c>
      <c r="E6" s="14">
        <v>45741</v>
      </c>
      <c r="F6" s="7" t="s">
        <v>72</v>
      </c>
      <c r="G6" s="7" t="s">
        <v>73</v>
      </c>
      <c r="H6" s="7" t="s">
        <v>74</v>
      </c>
      <c r="I6" s="7" t="s">
        <v>75</v>
      </c>
      <c r="J6" s="7" t="s">
        <v>76</v>
      </c>
      <c r="K6" s="21" t="s">
        <v>77</v>
      </c>
      <c r="L6" s="7" t="s">
        <v>38</v>
      </c>
      <c r="M6" s="7" t="s">
        <v>78</v>
      </c>
      <c r="N6" s="19"/>
      <c r="O6" s="19">
        <v>10000</v>
      </c>
      <c r="P6" s="7"/>
      <c r="Q6" s="19">
        <v>0</v>
      </c>
      <c r="R6" s="19">
        <v>0</v>
      </c>
      <c r="S6" s="7" t="s">
        <v>79</v>
      </c>
      <c r="T6" s="19"/>
      <c r="U6" s="8" t="s">
        <v>80</v>
      </c>
      <c r="V6" s="7" t="s">
        <v>81</v>
      </c>
      <c r="W6" s="7" t="s">
        <v>42</v>
      </c>
      <c r="X6" s="23"/>
      <c r="Y6" s="7"/>
      <c r="Z6" s="7"/>
      <c r="AA6" s="4" t="s">
        <v>43</v>
      </c>
      <c r="AB6" s="7"/>
      <c r="AC6" s="4" t="s">
        <v>53</v>
      </c>
      <c r="AD6" s="59">
        <v>45741</v>
      </c>
      <c r="AE6" s="16" t="s">
        <v>82</v>
      </c>
      <c r="AG6" s="2" t="s">
        <v>46</v>
      </c>
    </row>
    <row r="7" spans="1:33" ht="83.25" customHeight="1">
      <c r="A7" s="22">
        <v>6</v>
      </c>
      <c r="B7" s="22"/>
      <c r="C7" s="60">
        <v>45742.404062499998</v>
      </c>
      <c r="D7" s="17">
        <v>45742.404571759304</v>
      </c>
      <c r="E7" s="14">
        <v>45742</v>
      </c>
      <c r="F7" s="3" t="s">
        <v>72</v>
      </c>
      <c r="G7" s="3" t="s">
        <v>47</v>
      </c>
      <c r="H7" s="27" t="s">
        <v>83</v>
      </c>
      <c r="I7" s="3" t="s">
        <v>84</v>
      </c>
      <c r="J7" s="3" t="s">
        <v>85</v>
      </c>
      <c r="K7" s="15" t="s">
        <v>51</v>
      </c>
      <c r="L7" s="7" t="s">
        <v>38</v>
      </c>
      <c r="M7" s="3" t="s">
        <v>86</v>
      </c>
      <c r="O7" s="2">
        <v>3000</v>
      </c>
      <c r="P7" s="3" t="s">
        <v>87</v>
      </c>
      <c r="Q7" s="2">
        <v>0</v>
      </c>
      <c r="R7" s="2">
        <v>0</v>
      </c>
      <c r="S7" s="7" t="s">
        <v>79</v>
      </c>
      <c r="U7" s="9" t="s">
        <v>80</v>
      </c>
      <c r="V7" s="3" t="s">
        <v>88</v>
      </c>
      <c r="W7" s="3" t="s">
        <v>42</v>
      </c>
      <c r="Y7" s="3"/>
      <c r="Z7" s="3"/>
      <c r="AA7" s="4" t="s">
        <v>43</v>
      </c>
      <c r="AB7" s="3"/>
      <c r="AC7" s="4" t="s">
        <v>53</v>
      </c>
      <c r="AD7" s="58">
        <v>45741</v>
      </c>
      <c r="AE7" s="16" t="s">
        <v>82</v>
      </c>
      <c r="AG7" s="2" t="s">
        <v>46</v>
      </c>
    </row>
    <row r="8" spans="1:33" ht="83.25" customHeight="1">
      <c r="A8" s="18">
        <v>7</v>
      </c>
      <c r="B8" s="18"/>
      <c r="C8" s="62">
        <v>45742.404594907399</v>
      </c>
      <c r="D8" s="23">
        <v>45742.410694444399</v>
      </c>
      <c r="E8" s="14" t="s">
        <v>89</v>
      </c>
      <c r="F8" s="7" t="s">
        <v>72</v>
      </c>
      <c r="G8" s="7" t="s">
        <v>90</v>
      </c>
      <c r="H8" s="7" t="s">
        <v>91</v>
      </c>
      <c r="I8" s="7" t="s">
        <v>92</v>
      </c>
      <c r="J8" s="7" t="s">
        <v>93</v>
      </c>
      <c r="K8" s="21" t="s">
        <v>94</v>
      </c>
      <c r="L8" s="7" t="s">
        <v>38</v>
      </c>
      <c r="M8" s="7" t="s">
        <v>95</v>
      </c>
      <c r="N8" s="19"/>
      <c r="O8" s="19">
        <v>0</v>
      </c>
      <c r="P8" s="7" t="s">
        <v>96</v>
      </c>
      <c r="Q8" s="19">
        <v>0</v>
      </c>
      <c r="R8" s="19">
        <v>0</v>
      </c>
      <c r="S8" s="7" t="s">
        <v>97</v>
      </c>
      <c r="T8" s="19"/>
      <c r="U8" s="8" t="s">
        <v>98</v>
      </c>
      <c r="V8" s="7" t="s">
        <v>99</v>
      </c>
      <c r="W8" s="7" t="s">
        <v>42</v>
      </c>
      <c r="X8" s="23"/>
      <c r="Y8" s="7"/>
      <c r="Z8" s="7"/>
      <c r="AA8" s="4" t="s">
        <v>43</v>
      </c>
      <c r="AB8" s="7"/>
      <c r="AC8" s="4" t="s">
        <v>44</v>
      </c>
      <c r="AD8" s="20">
        <v>45742</v>
      </c>
      <c r="AE8" s="16" t="s">
        <v>82</v>
      </c>
      <c r="AG8" s="2" t="s">
        <v>46</v>
      </c>
    </row>
    <row r="9" spans="1:33" ht="83.25" customHeight="1">
      <c r="A9" s="18">
        <v>8</v>
      </c>
      <c r="B9" s="18"/>
      <c r="C9" s="62"/>
      <c r="D9" s="23">
        <v>45740</v>
      </c>
      <c r="E9" s="14">
        <v>45741</v>
      </c>
      <c r="F9" s="7"/>
      <c r="G9" s="7" t="s">
        <v>55</v>
      </c>
      <c r="H9" s="7" t="s">
        <v>100</v>
      </c>
      <c r="I9" s="7" t="s">
        <v>101</v>
      </c>
      <c r="J9" s="7" t="s">
        <v>102</v>
      </c>
      <c r="K9" s="21" t="s">
        <v>103</v>
      </c>
      <c r="L9" s="7" t="s">
        <v>38</v>
      </c>
      <c r="M9" s="7" t="s">
        <v>104</v>
      </c>
      <c r="N9" s="19"/>
      <c r="O9" s="19"/>
      <c r="P9" s="7"/>
      <c r="Q9" s="19"/>
      <c r="R9" s="19"/>
      <c r="S9" s="7" t="s">
        <v>105</v>
      </c>
      <c r="T9" s="19"/>
      <c r="U9" s="7"/>
      <c r="V9" s="7"/>
      <c r="W9" s="7"/>
      <c r="X9" s="23"/>
      <c r="Y9" s="7"/>
      <c r="Z9" s="7"/>
      <c r="AA9" s="4" t="s">
        <v>43</v>
      </c>
      <c r="AB9" s="7"/>
      <c r="AC9" s="4" t="s">
        <v>44</v>
      </c>
      <c r="AD9" s="20">
        <v>45741</v>
      </c>
      <c r="AE9" s="16" t="s">
        <v>106</v>
      </c>
      <c r="AG9" s="2" t="s">
        <v>71</v>
      </c>
    </row>
    <row r="10" spans="1:33" ht="83.25" customHeight="1">
      <c r="A10" s="18">
        <v>9</v>
      </c>
      <c r="B10" s="18"/>
      <c r="C10" s="62"/>
      <c r="D10" s="23">
        <v>45740</v>
      </c>
      <c r="E10" s="14">
        <v>45740</v>
      </c>
      <c r="F10" s="7"/>
      <c r="G10" s="7" t="s">
        <v>90</v>
      </c>
      <c r="H10" s="7" t="s">
        <v>107</v>
      </c>
      <c r="I10" s="7" t="s">
        <v>108</v>
      </c>
      <c r="J10" s="7" t="s">
        <v>109</v>
      </c>
      <c r="K10" s="21" t="s">
        <v>94</v>
      </c>
      <c r="L10" s="7" t="s">
        <v>60</v>
      </c>
      <c r="M10" s="7" t="s">
        <v>110</v>
      </c>
      <c r="N10" s="19"/>
      <c r="O10" s="19"/>
      <c r="P10" s="7"/>
      <c r="Q10" s="19"/>
      <c r="R10" s="19"/>
      <c r="S10" s="7"/>
      <c r="T10" s="19"/>
      <c r="U10" s="7"/>
      <c r="V10" s="7"/>
      <c r="W10" s="7"/>
      <c r="X10" s="23"/>
      <c r="Y10" s="7"/>
      <c r="Z10" s="7"/>
      <c r="AA10" s="4" t="s">
        <v>43</v>
      </c>
      <c r="AB10" s="7"/>
      <c r="AC10" s="4" t="s">
        <v>44</v>
      </c>
      <c r="AD10" s="20">
        <v>45740</v>
      </c>
      <c r="AE10" s="16" t="s">
        <v>45</v>
      </c>
      <c r="AG10" s="2" t="s">
        <v>46</v>
      </c>
    </row>
    <row r="11" spans="1:33" ht="83.25" customHeight="1">
      <c r="A11" s="18">
        <v>5</v>
      </c>
      <c r="B11" s="18"/>
      <c r="C11" s="62">
        <v>45748.726319444402</v>
      </c>
      <c r="D11" s="23">
        <v>45748.759895833296</v>
      </c>
      <c r="E11" s="14">
        <v>45749</v>
      </c>
      <c r="F11" s="7" t="s">
        <v>111</v>
      </c>
      <c r="G11" s="7" t="s">
        <v>112</v>
      </c>
      <c r="H11" s="7" t="s">
        <v>113</v>
      </c>
      <c r="I11" s="3"/>
      <c r="J11" s="7" t="s">
        <v>114</v>
      </c>
      <c r="K11" s="21" t="s">
        <v>115</v>
      </c>
      <c r="L11" s="7" t="s">
        <v>38</v>
      </c>
      <c r="M11" s="7" t="s">
        <v>116</v>
      </c>
      <c r="N11" s="19"/>
      <c r="O11" s="19">
        <v>2000</v>
      </c>
      <c r="P11" s="8" t="s">
        <v>117</v>
      </c>
      <c r="Q11" s="19">
        <v>0</v>
      </c>
      <c r="R11" s="19">
        <v>0</v>
      </c>
      <c r="S11" s="8" t="s">
        <v>117</v>
      </c>
      <c r="T11" s="19"/>
      <c r="U11" s="7" t="s">
        <v>118</v>
      </c>
      <c r="V11" s="8" t="s">
        <v>117</v>
      </c>
      <c r="W11" s="7" t="s">
        <v>119</v>
      </c>
      <c r="X11" s="23"/>
      <c r="Y11" s="7"/>
      <c r="Z11" s="7"/>
      <c r="AA11" s="4" t="s">
        <v>43</v>
      </c>
      <c r="AB11" s="7"/>
      <c r="AC11" s="4" t="s">
        <v>53</v>
      </c>
      <c r="AD11" s="20">
        <v>45750</v>
      </c>
      <c r="AE11" s="16" t="s">
        <v>45</v>
      </c>
      <c r="AG11" s="2" t="s">
        <v>46</v>
      </c>
    </row>
    <row r="12" spans="1:33" ht="83.25" customHeight="1">
      <c r="A12" s="18">
        <v>6</v>
      </c>
      <c r="B12" s="18"/>
      <c r="C12" s="62">
        <v>45749.476678240702</v>
      </c>
      <c r="D12" s="23">
        <v>45756</v>
      </c>
      <c r="E12" s="69">
        <v>45756</v>
      </c>
      <c r="F12" s="7" t="s">
        <v>120</v>
      </c>
      <c r="G12" s="7" t="s">
        <v>121</v>
      </c>
      <c r="H12" s="7" t="s">
        <v>122</v>
      </c>
      <c r="I12" s="7" t="s">
        <v>123</v>
      </c>
      <c r="J12" s="8" t="s">
        <v>124</v>
      </c>
      <c r="K12" s="21" t="s">
        <v>125</v>
      </c>
      <c r="L12" s="64" t="s">
        <v>66</v>
      </c>
      <c r="M12" s="7" t="s">
        <v>126</v>
      </c>
      <c r="N12" s="19"/>
      <c r="O12" s="19">
        <v>90000</v>
      </c>
      <c r="P12" s="8" t="s">
        <v>40</v>
      </c>
      <c r="Q12" s="19">
        <v>0</v>
      </c>
      <c r="R12" s="19">
        <v>0</v>
      </c>
      <c r="S12" s="8" t="s">
        <v>127</v>
      </c>
      <c r="T12" s="19"/>
      <c r="U12" s="7" t="s">
        <v>128</v>
      </c>
      <c r="V12" s="8" t="s">
        <v>96</v>
      </c>
      <c r="W12" s="7" t="s">
        <v>119</v>
      </c>
      <c r="X12" s="23"/>
      <c r="Y12" s="25" t="s">
        <v>129</v>
      </c>
      <c r="Z12" s="7"/>
      <c r="AA12" s="4" t="s">
        <v>43</v>
      </c>
      <c r="AB12" s="7"/>
      <c r="AC12" s="4" t="s">
        <v>130</v>
      </c>
      <c r="AD12" s="59">
        <v>45861</v>
      </c>
      <c r="AE12" s="16" t="s">
        <v>45</v>
      </c>
      <c r="AF12" s="2" t="s">
        <v>131</v>
      </c>
      <c r="AG12" s="2" t="s">
        <v>132</v>
      </c>
    </row>
    <row r="13" spans="1:33" ht="83.25" customHeight="1">
      <c r="A13" s="18">
        <v>7</v>
      </c>
      <c r="B13" s="18"/>
      <c r="C13" s="62">
        <v>45749.502500000002</v>
      </c>
      <c r="D13" s="23">
        <v>45749.504803240699</v>
      </c>
      <c r="E13" s="69">
        <v>45749</v>
      </c>
      <c r="F13" s="12" t="s">
        <v>120</v>
      </c>
      <c r="G13" s="29" t="s">
        <v>133</v>
      </c>
      <c r="H13" s="7" t="s">
        <v>134</v>
      </c>
      <c r="I13" s="7" t="s">
        <v>135</v>
      </c>
      <c r="J13" s="8" t="s">
        <v>136</v>
      </c>
      <c r="K13" s="21" t="s">
        <v>137</v>
      </c>
      <c r="L13" s="64" t="s">
        <v>66</v>
      </c>
      <c r="M13" s="7" t="s">
        <v>138</v>
      </c>
      <c r="N13" s="19"/>
      <c r="O13" s="19">
        <v>200000</v>
      </c>
      <c r="P13" s="8" t="s">
        <v>40</v>
      </c>
      <c r="Q13" s="19">
        <v>0</v>
      </c>
      <c r="R13" s="19">
        <v>0</v>
      </c>
      <c r="S13" s="8" t="s">
        <v>139</v>
      </c>
      <c r="T13" s="19"/>
      <c r="U13" s="7" t="s">
        <v>140</v>
      </c>
      <c r="V13" s="8" t="s">
        <v>96</v>
      </c>
      <c r="W13" s="7" t="s">
        <v>119</v>
      </c>
      <c r="X13" s="23"/>
      <c r="Y13" s="7"/>
      <c r="Z13" s="7"/>
      <c r="AA13" s="4" t="s">
        <v>43</v>
      </c>
      <c r="AB13" s="7"/>
      <c r="AC13" s="4" t="s">
        <v>130</v>
      </c>
      <c r="AD13" s="59">
        <v>45861</v>
      </c>
      <c r="AE13" s="66" t="s">
        <v>82</v>
      </c>
      <c r="AG13" s="2" t="s">
        <v>132</v>
      </c>
    </row>
    <row r="14" spans="1:33" ht="83.25" customHeight="1">
      <c r="A14" s="18">
        <v>8</v>
      </c>
      <c r="B14" s="18"/>
      <c r="C14" s="62">
        <v>45750.644502314797</v>
      </c>
      <c r="D14" s="23">
        <v>45750.647650462997</v>
      </c>
      <c r="E14" s="14">
        <v>45750</v>
      </c>
      <c r="F14" s="39" t="s">
        <v>141</v>
      </c>
      <c r="G14" s="7" t="s">
        <v>142</v>
      </c>
      <c r="H14" s="7" t="s">
        <v>143</v>
      </c>
      <c r="I14" s="7" t="s">
        <v>144</v>
      </c>
      <c r="J14" s="8" t="s">
        <v>145</v>
      </c>
      <c r="K14" s="21" t="s">
        <v>146</v>
      </c>
      <c r="L14" s="7" t="s">
        <v>38</v>
      </c>
      <c r="M14" s="7" t="s">
        <v>147</v>
      </c>
      <c r="N14" s="19"/>
      <c r="O14" s="19">
        <v>4000</v>
      </c>
      <c r="P14" s="8" t="s">
        <v>148</v>
      </c>
      <c r="Q14" s="19">
        <v>0</v>
      </c>
      <c r="R14" s="19">
        <v>4500000</v>
      </c>
      <c r="S14" s="8" t="s">
        <v>149</v>
      </c>
      <c r="T14" s="19"/>
      <c r="U14" s="7" t="s">
        <v>150</v>
      </c>
      <c r="V14" s="8" t="s">
        <v>151</v>
      </c>
      <c r="W14" s="7" t="s">
        <v>152</v>
      </c>
      <c r="X14" s="23">
        <v>45778</v>
      </c>
      <c r="Y14" s="25" t="s">
        <v>129</v>
      </c>
      <c r="Z14" s="7"/>
      <c r="AA14" s="4" t="s">
        <v>43</v>
      </c>
      <c r="AB14" s="7"/>
      <c r="AC14" s="4" t="s">
        <v>153</v>
      </c>
      <c r="AD14" s="20">
        <v>45775</v>
      </c>
      <c r="AE14" s="16" t="s">
        <v>45</v>
      </c>
      <c r="AF14" s="2" t="s">
        <v>154</v>
      </c>
      <c r="AG14" s="2" t="s">
        <v>71</v>
      </c>
    </row>
    <row r="15" spans="1:33" ht="83.25" customHeight="1">
      <c r="A15" s="22">
        <v>9</v>
      </c>
      <c r="B15" s="22"/>
      <c r="C15" s="60">
        <v>45751.632997685199</v>
      </c>
      <c r="D15" s="17">
        <v>45751.634224537003</v>
      </c>
      <c r="E15" s="14">
        <v>45751</v>
      </c>
      <c r="F15" s="3" t="s">
        <v>155</v>
      </c>
      <c r="G15" s="3" t="s">
        <v>121</v>
      </c>
      <c r="H15" s="3" t="s">
        <v>156</v>
      </c>
      <c r="I15" s="3" t="s">
        <v>157</v>
      </c>
      <c r="J15" s="9" t="s">
        <v>158</v>
      </c>
      <c r="K15" s="21" t="s">
        <v>159</v>
      </c>
      <c r="L15" s="7" t="s">
        <v>38</v>
      </c>
      <c r="M15" s="3" t="s">
        <v>160</v>
      </c>
      <c r="O15" s="2">
        <v>12000</v>
      </c>
      <c r="P15" s="9" t="s">
        <v>161</v>
      </c>
      <c r="Q15" s="2">
        <v>60000</v>
      </c>
      <c r="R15" s="2">
        <v>10000000</v>
      </c>
      <c r="S15" s="9" t="s">
        <v>162</v>
      </c>
      <c r="U15" s="3" t="s">
        <v>163</v>
      </c>
      <c r="V15" s="9" t="s">
        <v>164</v>
      </c>
      <c r="W15" s="3" t="s">
        <v>119</v>
      </c>
      <c r="Y15" s="3"/>
      <c r="Z15" s="3"/>
      <c r="AA15" s="4" t="s">
        <v>43</v>
      </c>
      <c r="AB15" s="3"/>
      <c r="AC15" s="4" t="s">
        <v>130</v>
      </c>
      <c r="AD15" s="1">
        <v>45772</v>
      </c>
      <c r="AE15" s="24" t="s">
        <v>45</v>
      </c>
      <c r="AF15" s="2" t="s">
        <v>165</v>
      </c>
      <c r="AG15" s="2" t="s">
        <v>166</v>
      </c>
    </row>
    <row r="16" spans="1:33" ht="83.25" customHeight="1">
      <c r="A16" s="18">
        <v>10</v>
      </c>
      <c r="B16" s="18"/>
      <c r="C16" s="62">
        <v>45751.796585648102</v>
      </c>
      <c r="D16" s="23">
        <v>45751.798425925903</v>
      </c>
      <c r="E16" s="14">
        <v>45754</v>
      </c>
      <c r="F16" s="7" t="s">
        <v>155</v>
      </c>
      <c r="G16" s="7" t="s">
        <v>121</v>
      </c>
      <c r="H16" s="7" t="s">
        <v>167</v>
      </c>
      <c r="I16" s="7" t="s">
        <v>168</v>
      </c>
      <c r="J16" s="8" t="s">
        <v>169</v>
      </c>
      <c r="K16" s="21" t="s">
        <v>125</v>
      </c>
      <c r="L16" s="7" t="s">
        <v>60</v>
      </c>
      <c r="M16" s="7" t="s">
        <v>170</v>
      </c>
      <c r="N16" s="19"/>
      <c r="O16" s="19">
        <v>15000</v>
      </c>
      <c r="P16" s="8" t="s">
        <v>40</v>
      </c>
      <c r="Q16" s="19">
        <v>0</v>
      </c>
      <c r="R16" s="19">
        <v>0</v>
      </c>
      <c r="S16" s="8" t="s">
        <v>171</v>
      </c>
      <c r="T16" s="19"/>
      <c r="U16" s="7" t="s">
        <v>172</v>
      </c>
      <c r="V16" s="8" t="s">
        <v>173</v>
      </c>
      <c r="W16" s="7" t="s">
        <v>119</v>
      </c>
      <c r="X16" s="23"/>
      <c r="Y16" s="7"/>
      <c r="Z16" s="7"/>
      <c r="AA16" s="4" t="s">
        <v>43</v>
      </c>
      <c r="AB16" s="7"/>
      <c r="AC16" s="4" t="s">
        <v>130</v>
      </c>
      <c r="AD16" s="20">
        <v>45758</v>
      </c>
      <c r="AE16" s="16" t="s">
        <v>174</v>
      </c>
      <c r="AG16" s="2" t="s">
        <v>132</v>
      </c>
    </row>
    <row r="17" spans="1:33" ht="83.25" customHeight="1">
      <c r="A17" s="18">
        <v>11</v>
      </c>
      <c r="B17" s="18"/>
      <c r="C17" s="62">
        <v>45761.579548611102</v>
      </c>
      <c r="D17" s="23">
        <v>45761.584305555603</v>
      </c>
      <c r="E17" s="14">
        <v>45758</v>
      </c>
      <c r="F17" s="7" t="s">
        <v>175</v>
      </c>
      <c r="G17" s="7" t="s">
        <v>176</v>
      </c>
      <c r="H17" s="7" t="s">
        <v>177</v>
      </c>
      <c r="I17" s="7" t="s">
        <v>178</v>
      </c>
      <c r="J17" s="34" t="s">
        <v>179</v>
      </c>
      <c r="K17" s="21" t="s">
        <v>180</v>
      </c>
      <c r="L17" s="7" t="s">
        <v>38</v>
      </c>
      <c r="M17" s="7" t="s">
        <v>181</v>
      </c>
      <c r="N17" s="19"/>
      <c r="O17" s="19">
        <v>15000</v>
      </c>
      <c r="P17" s="8" t="s">
        <v>182</v>
      </c>
      <c r="Q17" s="19">
        <v>900000</v>
      </c>
      <c r="R17" s="19">
        <v>100000000</v>
      </c>
      <c r="S17" s="8" t="s">
        <v>183</v>
      </c>
      <c r="T17" s="19"/>
      <c r="U17" s="7" t="s">
        <v>184</v>
      </c>
      <c r="V17" s="8" t="s">
        <v>185</v>
      </c>
      <c r="W17" s="7" t="s">
        <v>119</v>
      </c>
      <c r="X17" s="23"/>
      <c r="Y17" s="7"/>
      <c r="Z17" s="7"/>
      <c r="AA17" s="4" t="s">
        <v>43</v>
      </c>
      <c r="AB17" s="7"/>
      <c r="AC17" s="4" t="s">
        <v>130</v>
      </c>
      <c r="AD17" s="20">
        <v>45770</v>
      </c>
      <c r="AE17" s="16" t="s">
        <v>82</v>
      </c>
      <c r="AG17" s="57" t="s">
        <v>71</v>
      </c>
    </row>
    <row r="18" spans="1:33" ht="83.25" customHeight="1">
      <c r="A18" s="18">
        <v>12</v>
      </c>
      <c r="B18" s="18"/>
      <c r="C18" s="62">
        <v>45769.681851851899</v>
      </c>
      <c r="D18" s="23">
        <v>45769.687210648102</v>
      </c>
      <c r="E18" s="14">
        <v>45769</v>
      </c>
      <c r="F18" s="7" t="s">
        <v>186</v>
      </c>
      <c r="G18" s="7" t="s">
        <v>47</v>
      </c>
      <c r="H18" s="7" t="s">
        <v>187</v>
      </c>
      <c r="I18" s="7" t="s">
        <v>188</v>
      </c>
      <c r="J18" s="8" t="s">
        <v>188</v>
      </c>
      <c r="K18" s="21" t="s">
        <v>189</v>
      </c>
      <c r="L18" s="7" t="s">
        <v>38</v>
      </c>
      <c r="M18" s="26" t="s">
        <v>190</v>
      </c>
      <c r="N18" s="19"/>
      <c r="O18" s="19">
        <v>100000</v>
      </c>
      <c r="P18" s="8" t="s">
        <v>40</v>
      </c>
      <c r="Q18" s="19">
        <v>3600000</v>
      </c>
      <c r="R18" s="19">
        <v>70000000</v>
      </c>
      <c r="S18" s="8" t="s">
        <v>191</v>
      </c>
      <c r="T18" s="19"/>
      <c r="U18" s="7" t="s">
        <v>192</v>
      </c>
      <c r="V18" s="8" t="s">
        <v>193</v>
      </c>
      <c r="W18" s="7" t="s">
        <v>42</v>
      </c>
      <c r="X18" s="23"/>
      <c r="Y18" s="7"/>
      <c r="Z18" s="7"/>
      <c r="AA18" s="4" t="s">
        <v>43</v>
      </c>
      <c r="AB18" s="7"/>
      <c r="AC18" s="4" t="s">
        <v>53</v>
      </c>
      <c r="AD18" s="20">
        <v>45770</v>
      </c>
      <c r="AE18" s="16" t="s">
        <v>45</v>
      </c>
      <c r="AG18" s="2" t="s">
        <v>46</v>
      </c>
    </row>
    <row r="19" spans="1:33" ht="83.25" customHeight="1">
      <c r="A19" s="18">
        <v>13</v>
      </c>
      <c r="B19" s="18"/>
      <c r="C19" s="62">
        <v>45769.687291666698</v>
      </c>
      <c r="D19" s="23">
        <v>45769.701724537001</v>
      </c>
      <c r="E19" s="14">
        <v>45769</v>
      </c>
      <c r="F19" s="7" t="s">
        <v>186</v>
      </c>
      <c r="G19" s="7" t="s">
        <v>47</v>
      </c>
      <c r="H19" s="7" t="s">
        <v>194</v>
      </c>
      <c r="I19" s="7" t="s">
        <v>195</v>
      </c>
      <c r="J19" s="8" t="s">
        <v>196</v>
      </c>
      <c r="K19" s="21" t="s">
        <v>197</v>
      </c>
      <c r="L19" s="7" t="s">
        <v>38</v>
      </c>
      <c r="M19" s="7" t="s">
        <v>198</v>
      </c>
      <c r="N19" s="19"/>
      <c r="O19" s="19">
        <v>2000</v>
      </c>
      <c r="P19" s="8" t="s">
        <v>40</v>
      </c>
      <c r="Q19" s="19">
        <v>700000</v>
      </c>
      <c r="R19" s="19">
        <v>1000000</v>
      </c>
      <c r="S19" s="8" t="s">
        <v>199</v>
      </c>
      <c r="T19" s="19"/>
      <c r="U19" s="7" t="s">
        <v>200</v>
      </c>
      <c r="V19" s="8" t="s">
        <v>201</v>
      </c>
      <c r="W19" s="7" t="s">
        <v>42</v>
      </c>
      <c r="X19" s="23"/>
      <c r="Y19" s="25" t="s">
        <v>129</v>
      </c>
      <c r="Z19" s="7"/>
      <c r="AA19" s="4" t="s">
        <v>43</v>
      </c>
      <c r="AB19" s="7"/>
      <c r="AC19" s="4" t="s">
        <v>53</v>
      </c>
      <c r="AD19" s="20">
        <v>45771</v>
      </c>
      <c r="AE19" s="16" t="s">
        <v>45</v>
      </c>
      <c r="AG19" s="2" t="s">
        <v>71</v>
      </c>
    </row>
    <row r="20" spans="1:33" ht="83.25" customHeight="1">
      <c r="A20" s="18">
        <v>14</v>
      </c>
      <c r="B20" s="18"/>
      <c r="C20" s="62">
        <v>45772.5368171296</v>
      </c>
      <c r="D20" s="23">
        <v>45754</v>
      </c>
      <c r="E20" s="14">
        <v>45755</v>
      </c>
      <c r="F20" s="25" t="s">
        <v>175</v>
      </c>
      <c r="G20" s="7" t="s">
        <v>176</v>
      </c>
      <c r="H20" s="7" t="s">
        <v>202</v>
      </c>
      <c r="I20" s="7" t="s">
        <v>203</v>
      </c>
      <c r="J20" s="35" t="s">
        <v>204</v>
      </c>
      <c r="K20" s="21" t="s">
        <v>205</v>
      </c>
      <c r="L20" s="7" t="s">
        <v>206</v>
      </c>
      <c r="M20" s="7" t="s">
        <v>207</v>
      </c>
      <c r="N20" s="28"/>
      <c r="O20" s="19">
        <v>0</v>
      </c>
      <c r="P20" s="8" t="s">
        <v>208</v>
      </c>
      <c r="Q20" s="19">
        <v>0</v>
      </c>
      <c r="R20" s="19">
        <v>0</v>
      </c>
      <c r="S20" s="8" t="s">
        <v>209</v>
      </c>
      <c r="T20" s="28"/>
      <c r="U20" s="7" t="s">
        <v>210</v>
      </c>
      <c r="V20" s="8" t="s">
        <v>211</v>
      </c>
      <c r="W20" s="7" t="s">
        <v>42</v>
      </c>
      <c r="X20" s="56"/>
      <c r="Y20" s="30" t="s">
        <v>212</v>
      </c>
      <c r="Z20" s="40" t="s">
        <v>213</v>
      </c>
      <c r="AA20" s="4" t="s">
        <v>43</v>
      </c>
      <c r="AB20" s="7"/>
      <c r="AC20" s="4" t="s">
        <v>130</v>
      </c>
      <c r="AD20" s="20">
        <v>45771</v>
      </c>
      <c r="AE20" s="16" t="s">
        <v>214</v>
      </c>
      <c r="AG20" s="2" t="s">
        <v>132</v>
      </c>
    </row>
    <row r="21" spans="1:33" ht="83.25" customHeight="1">
      <c r="A21" s="18">
        <v>15</v>
      </c>
      <c r="B21" s="18"/>
      <c r="C21" s="62">
        <v>45772.940428240698</v>
      </c>
      <c r="D21" s="23">
        <v>45772.940613425897</v>
      </c>
      <c r="E21" s="14">
        <v>45772</v>
      </c>
      <c r="F21" s="25" t="s">
        <v>215</v>
      </c>
      <c r="G21" s="7" t="s">
        <v>216</v>
      </c>
      <c r="H21" s="7" t="s">
        <v>217</v>
      </c>
      <c r="I21" s="7" t="s">
        <v>218</v>
      </c>
      <c r="J21" s="8" t="s">
        <v>219</v>
      </c>
      <c r="K21" s="21" t="s">
        <v>220</v>
      </c>
      <c r="L21" s="64" t="s">
        <v>66</v>
      </c>
      <c r="M21" s="7" t="s">
        <v>221</v>
      </c>
      <c r="N21" s="19"/>
      <c r="O21" s="19">
        <v>120</v>
      </c>
      <c r="P21" s="8" t="s">
        <v>40</v>
      </c>
      <c r="Q21" s="19">
        <v>36000</v>
      </c>
      <c r="R21" s="19">
        <v>0</v>
      </c>
      <c r="S21" s="8" t="s">
        <v>222</v>
      </c>
      <c r="T21" s="19"/>
      <c r="U21" s="7" t="s">
        <v>216</v>
      </c>
      <c r="V21" s="8" t="s">
        <v>151</v>
      </c>
      <c r="W21" s="7" t="s">
        <v>42</v>
      </c>
      <c r="X21" s="23"/>
      <c r="Y21" s="31"/>
      <c r="Z21" s="25"/>
      <c r="AA21" s="4"/>
      <c r="AB21" s="7"/>
      <c r="AC21" s="4" t="s">
        <v>44</v>
      </c>
      <c r="AD21" s="59">
        <v>45861</v>
      </c>
      <c r="AE21" s="16" t="s">
        <v>45</v>
      </c>
      <c r="AG21" s="2" t="s">
        <v>71</v>
      </c>
    </row>
    <row r="22" spans="1:33" ht="83.25" customHeight="1">
      <c r="A22" s="18">
        <v>16</v>
      </c>
      <c r="B22" s="18"/>
      <c r="C22" s="62">
        <v>45775.531412037002</v>
      </c>
      <c r="D22" s="23">
        <v>45757</v>
      </c>
      <c r="E22" s="14">
        <v>45757</v>
      </c>
      <c r="F22" s="25" t="s">
        <v>175</v>
      </c>
      <c r="G22" s="7" t="s">
        <v>176</v>
      </c>
      <c r="H22" s="7" t="s">
        <v>223</v>
      </c>
      <c r="I22" s="7" t="s">
        <v>224</v>
      </c>
      <c r="J22" s="36" t="s">
        <v>225</v>
      </c>
      <c r="K22" s="21" t="s">
        <v>226</v>
      </c>
      <c r="L22" s="7" t="s">
        <v>206</v>
      </c>
      <c r="M22" s="7" t="s">
        <v>227</v>
      </c>
      <c r="N22" s="19"/>
      <c r="O22" s="19">
        <v>15000</v>
      </c>
      <c r="P22" s="8" t="s">
        <v>182</v>
      </c>
      <c r="Q22" s="19">
        <v>900000</v>
      </c>
      <c r="R22" s="19">
        <v>100000000</v>
      </c>
      <c r="S22" s="8" t="s">
        <v>228</v>
      </c>
      <c r="T22" s="19"/>
      <c r="U22" s="7" t="s">
        <v>184</v>
      </c>
      <c r="V22" s="8" t="s">
        <v>185</v>
      </c>
      <c r="W22" s="7" t="s">
        <v>119</v>
      </c>
      <c r="X22" s="23"/>
      <c r="Y22" s="31"/>
      <c r="Z22" s="25"/>
      <c r="AA22" s="4" t="s">
        <v>43</v>
      </c>
      <c r="AB22" s="7"/>
      <c r="AC22" s="4" t="s">
        <v>130</v>
      </c>
      <c r="AD22" s="20">
        <v>45757</v>
      </c>
      <c r="AE22" s="16" t="s">
        <v>229</v>
      </c>
      <c r="AG22" s="2" t="s">
        <v>132</v>
      </c>
    </row>
    <row r="23" spans="1:33" ht="83.25" customHeight="1">
      <c r="A23" s="18">
        <v>17</v>
      </c>
      <c r="B23" s="18"/>
      <c r="C23" s="62">
        <v>45778.437800925902</v>
      </c>
      <c r="D23" s="23">
        <v>45778.446099537003</v>
      </c>
      <c r="E23" s="14">
        <v>45779</v>
      </c>
      <c r="F23" s="25" t="s">
        <v>230</v>
      </c>
      <c r="G23" s="7" t="s">
        <v>231</v>
      </c>
      <c r="H23" s="7" t="s">
        <v>232</v>
      </c>
      <c r="I23" s="7" t="s">
        <v>233</v>
      </c>
      <c r="J23" s="8" t="s">
        <v>234</v>
      </c>
      <c r="K23" s="21" t="s">
        <v>235</v>
      </c>
      <c r="L23" s="7" t="s">
        <v>206</v>
      </c>
      <c r="M23" s="7" t="s">
        <v>236</v>
      </c>
      <c r="N23" s="19"/>
      <c r="O23" s="19">
        <v>3500</v>
      </c>
      <c r="P23" s="8" t="s">
        <v>148</v>
      </c>
      <c r="Q23" s="19">
        <v>380000</v>
      </c>
      <c r="R23" s="19">
        <v>10000000</v>
      </c>
      <c r="S23" s="8" t="s">
        <v>237</v>
      </c>
      <c r="T23" s="19"/>
      <c r="U23" s="7" t="s">
        <v>238</v>
      </c>
      <c r="V23" s="8" t="s">
        <v>239</v>
      </c>
      <c r="W23" s="7" t="s">
        <v>119</v>
      </c>
      <c r="X23" s="23"/>
      <c r="Y23" s="31"/>
      <c r="Z23" s="25"/>
      <c r="AA23" s="4" t="s">
        <v>43</v>
      </c>
      <c r="AB23" s="7"/>
      <c r="AC23" s="4" t="s">
        <v>130</v>
      </c>
      <c r="AD23" s="20">
        <v>45779</v>
      </c>
      <c r="AE23" s="16" t="s">
        <v>214</v>
      </c>
      <c r="AF23" s="2" t="s">
        <v>240</v>
      </c>
      <c r="AG23" s="2" t="s">
        <v>71</v>
      </c>
    </row>
    <row r="24" spans="1:33" ht="83.25" customHeight="1">
      <c r="A24" s="18">
        <v>18</v>
      </c>
      <c r="B24" s="18"/>
      <c r="C24" s="62">
        <v>45778.682673611103</v>
      </c>
      <c r="D24" s="23">
        <v>45778.682731481502</v>
      </c>
      <c r="E24" s="14">
        <v>45779</v>
      </c>
      <c r="F24" s="25" t="s">
        <v>241</v>
      </c>
      <c r="G24" s="7" t="s">
        <v>242</v>
      </c>
      <c r="H24" s="7" t="s">
        <v>243</v>
      </c>
      <c r="I24" s="7" t="s">
        <v>244</v>
      </c>
      <c r="J24" s="37" t="s">
        <v>245</v>
      </c>
      <c r="K24" s="21" t="s">
        <v>246</v>
      </c>
      <c r="L24" s="7" t="s">
        <v>206</v>
      </c>
      <c r="M24" s="7" t="s">
        <v>247</v>
      </c>
      <c r="N24" s="19"/>
      <c r="O24" s="19">
        <v>2000</v>
      </c>
      <c r="P24" s="8" t="s">
        <v>248</v>
      </c>
      <c r="Q24" s="19">
        <v>2.08</v>
      </c>
      <c r="R24" s="19">
        <v>0</v>
      </c>
      <c r="S24" s="8" t="s">
        <v>249</v>
      </c>
      <c r="T24" s="19"/>
      <c r="U24" s="7" t="s">
        <v>242</v>
      </c>
      <c r="V24" s="8" t="s">
        <v>250</v>
      </c>
      <c r="W24" s="7" t="s">
        <v>119</v>
      </c>
      <c r="X24" s="23"/>
      <c r="Y24" s="31"/>
      <c r="Z24" s="25"/>
      <c r="AA24" s="4" t="s">
        <v>43</v>
      </c>
      <c r="AB24" s="7"/>
      <c r="AC24" s="4" t="s">
        <v>44</v>
      </c>
      <c r="AD24" s="20">
        <v>45779</v>
      </c>
      <c r="AE24" s="16" t="s">
        <v>45</v>
      </c>
      <c r="AG24" s="2" t="s">
        <v>71</v>
      </c>
    </row>
    <row r="25" spans="1:33" ht="83.25" customHeight="1">
      <c r="A25" s="18">
        <v>19</v>
      </c>
      <c r="B25" s="18"/>
      <c r="C25" s="62">
        <v>45778.738599536999</v>
      </c>
      <c r="D25" s="23">
        <v>45778.738645833299</v>
      </c>
      <c r="E25" s="14">
        <v>45779</v>
      </c>
      <c r="F25" s="25" t="s">
        <v>251</v>
      </c>
      <c r="G25" s="7" t="s">
        <v>252</v>
      </c>
      <c r="H25" s="7" t="s">
        <v>253</v>
      </c>
      <c r="I25" s="7" t="s">
        <v>254</v>
      </c>
      <c r="J25" s="8" t="s">
        <v>254</v>
      </c>
      <c r="K25" s="21" t="s">
        <v>255</v>
      </c>
      <c r="L25" s="7" t="s">
        <v>38</v>
      </c>
      <c r="M25" s="7" t="s">
        <v>256</v>
      </c>
      <c r="N25" s="19"/>
      <c r="O25" s="19">
        <v>1000</v>
      </c>
      <c r="P25" s="8" t="s">
        <v>40</v>
      </c>
      <c r="Q25" s="19">
        <v>216000</v>
      </c>
      <c r="R25" s="19">
        <v>3600000</v>
      </c>
      <c r="S25" s="8" t="s">
        <v>257</v>
      </c>
      <c r="T25" s="19"/>
      <c r="U25" s="7" t="s">
        <v>252</v>
      </c>
      <c r="V25" s="8" t="s">
        <v>258</v>
      </c>
      <c r="W25" s="7" t="s">
        <v>152</v>
      </c>
      <c r="X25" s="23">
        <v>45824</v>
      </c>
      <c r="Y25" s="31"/>
      <c r="Z25" s="25"/>
      <c r="AA25" s="4" t="s">
        <v>43</v>
      </c>
      <c r="AB25" s="7"/>
      <c r="AC25" s="4" t="s">
        <v>44</v>
      </c>
      <c r="AD25" s="20">
        <v>45846</v>
      </c>
      <c r="AE25" s="16" t="s">
        <v>259</v>
      </c>
      <c r="AF25" s="2" t="s">
        <v>260</v>
      </c>
      <c r="AG25" s="2" t="s">
        <v>71</v>
      </c>
    </row>
    <row r="26" spans="1:33" ht="83.25" customHeight="1">
      <c r="A26" s="18">
        <v>20</v>
      </c>
      <c r="B26" s="18"/>
      <c r="C26" s="62">
        <v>45778.739363425899</v>
      </c>
      <c r="D26" s="23">
        <v>45778.7430439815</v>
      </c>
      <c r="E26" s="14">
        <v>45779</v>
      </c>
      <c r="F26" s="25" t="s">
        <v>261</v>
      </c>
      <c r="G26" s="7" t="s">
        <v>262</v>
      </c>
      <c r="H26" s="7" t="s">
        <v>263</v>
      </c>
      <c r="I26" s="7" t="s">
        <v>264</v>
      </c>
      <c r="J26" s="8" t="s">
        <v>265</v>
      </c>
      <c r="K26" s="21" t="s">
        <v>266</v>
      </c>
      <c r="L26" s="7" t="s">
        <v>38</v>
      </c>
      <c r="M26" s="7" t="s">
        <v>267</v>
      </c>
      <c r="N26" s="19"/>
      <c r="O26" s="19">
        <v>21550</v>
      </c>
      <c r="P26" s="8" t="s">
        <v>268</v>
      </c>
      <c r="Q26" s="19">
        <v>0</v>
      </c>
      <c r="R26" s="19">
        <v>0</v>
      </c>
      <c r="S26" s="8" t="s">
        <v>269</v>
      </c>
      <c r="T26" s="19"/>
      <c r="U26" s="7" t="s">
        <v>270</v>
      </c>
      <c r="V26" s="8" t="s">
        <v>271</v>
      </c>
      <c r="W26" s="7" t="s">
        <v>42</v>
      </c>
      <c r="X26" s="23"/>
      <c r="Y26" s="31" t="s">
        <v>129</v>
      </c>
      <c r="Z26" s="25" t="s">
        <v>129</v>
      </c>
      <c r="AA26" s="4" t="s">
        <v>43</v>
      </c>
      <c r="AB26" s="7"/>
      <c r="AC26" s="4" t="s">
        <v>53</v>
      </c>
      <c r="AD26" s="20">
        <v>45779</v>
      </c>
      <c r="AE26" s="16" t="s">
        <v>45</v>
      </c>
      <c r="AG26" s="2" t="s">
        <v>46</v>
      </c>
    </row>
    <row r="27" spans="1:33" ht="83.25" customHeight="1">
      <c r="A27" s="18">
        <v>21</v>
      </c>
      <c r="B27" s="18"/>
      <c r="C27" s="62">
        <v>45783.5542824074</v>
      </c>
      <c r="D27" s="23">
        <v>45783.556493055599</v>
      </c>
      <c r="E27" s="14">
        <v>45783</v>
      </c>
      <c r="F27" s="25" t="s">
        <v>272</v>
      </c>
      <c r="G27" s="7" t="s">
        <v>273</v>
      </c>
      <c r="H27" s="7" t="s">
        <v>274</v>
      </c>
      <c r="I27" s="7" t="s">
        <v>275</v>
      </c>
      <c r="J27" s="8" t="s">
        <v>276</v>
      </c>
      <c r="K27" s="21" t="s">
        <v>277</v>
      </c>
      <c r="L27" s="64" t="s">
        <v>60</v>
      </c>
      <c r="M27" s="7" t="s">
        <v>278</v>
      </c>
      <c r="N27" s="19"/>
      <c r="O27" s="19">
        <v>630</v>
      </c>
      <c r="P27" s="8" t="s">
        <v>279</v>
      </c>
      <c r="Q27" s="19">
        <v>52920</v>
      </c>
      <c r="R27" s="19">
        <v>0</v>
      </c>
      <c r="S27" s="8" t="s">
        <v>280</v>
      </c>
      <c r="T27" s="19"/>
      <c r="U27" s="7" t="s">
        <v>281</v>
      </c>
      <c r="V27" s="8" t="s">
        <v>151</v>
      </c>
      <c r="W27" s="7" t="s">
        <v>152</v>
      </c>
      <c r="X27" s="23">
        <v>45818</v>
      </c>
      <c r="Y27" s="31" t="s">
        <v>282</v>
      </c>
      <c r="Z27" s="25"/>
      <c r="AA27" s="4" t="s">
        <v>43</v>
      </c>
      <c r="AB27" s="7"/>
      <c r="AC27" s="4" t="s">
        <v>44</v>
      </c>
      <c r="AD27" s="20"/>
      <c r="AE27" s="16" t="s">
        <v>283</v>
      </c>
      <c r="AG27" s="2" t="s">
        <v>71</v>
      </c>
    </row>
    <row r="28" spans="1:33" ht="83.25" customHeight="1">
      <c r="A28" s="18">
        <v>22</v>
      </c>
      <c r="B28" s="18"/>
      <c r="C28" s="62">
        <v>45785.4067013889</v>
      </c>
      <c r="D28" s="23">
        <v>45785.410613425898</v>
      </c>
      <c r="E28" s="14">
        <v>45785</v>
      </c>
      <c r="F28" s="25" t="s">
        <v>272</v>
      </c>
      <c r="G28" s="7" t="s">
        <v>273</v>
      </c>
      <c r="H28" s="7" t="s">
        <v>284</v>
      </c>
      <c r="I28" s="7" t="s">
        <v>285</v>
      </c>
      <c r="J28" s="8" t="s">
        <v>286</v>
      </c>
      <c r="K28" s="21" t="s">
        <v>277</v>
      </c>
      <c r="L28" s="7" t="s">
        <v>38</v>
      </c>
      <c r="M28" s="7" t="s">
        <v>287</v>
      </c>
      <c r="N28" s="19"/>
      <c r="O28" s="19">
        <v>630</v>
      </c>
      <c r="P28" s="8" t="s">
        <v>288</v>
      </c>
      <c r="Q28" s="19">
        <v>52920</v>
      </c>
      <c r="R28" s="19">
        <v>0</v>
      </c>
      <c r="S28" s="8" t="s">
        <v>289</v>
      </c>
      <c r="T28" s="19"/>
      <c r="U28" s="7" t="s">
        <v>290</v>
      </c>
      <c r="V28" s="8" t="s">
        <v>291</v>
      </c>
      <c r="W28" s="7" t="s">
        <v>152</v>
      </c>
      <c r="X28" s="23">
        <v>45818</v>
      </c>
      <c r="Y28" s="31"/>
      <c r="Z28" s="25"/>
      <c r="AA28" s="4" t="s">
        <v>43</v>
      </c>
      <c r="AB28" s="7"/>
      <c r="AC28" s="4" t="s">
        <v>44</v>
      </c>
      <c r="AD28" s="20">
        <v>45785</v>
      </c>
      <c r="AE28" s="16" t="s">
        <v>292</v>
      </c>
      <c r="AG28" s="2" t="s">
        <v>46</v>
      </c>
    </row>
    <row r="29" spans="1:33" ht="83.25" customHeight="1">
      <c r="A29" s="18">
        <v>23</v>
      </c>
      <c r="B29" s="18"/>
      <c r="C29" s="62">
        <v>45785.630624999998</v>
      </c>
      <c r="D29" s="23">
        <v>45785.6325462963</v>
      </c>
      <c r="E29" s="14">
        <v>45786</v>
      </c>
      <c r="F29" s="25" t="s">
        <v>155</v>
      </c>
      <c r="G29" s="7" t="s">
        <v>121</v>
      </c>
      <c r="H29" s="7" t="s">
        <v>293</v>
      </c>
      <c r="I29" s="7" t="s">
        <v>294</v>
      </c>
      <c r="J29" s="8" t="s">
        <v>295</v>
      </c>
      <c r="K29" s="21" t="s">
        <v>296</v>
      </c>
      <c r="L29" s="7" t="s">
        <v>38</v>
      </c>
      <c r="M29" s="7" t="s">
        <v>297</v>
      </c>
      <c r="N29" s="19"/>
      <c r="O29" s="19">
        <v>27000</v>
      </c>
      <c r="P29" s="8" t="s">
        <v>40</v>
      </c>
      <c r="Q29" s="19">
        <v>0</v>
      </c>
      <c r="R29" s="19">
        <v>0</v>
      </c>
      <c r="S29" s="8" t="s">
        <v>117</v>
      </c>
      <c r="T29" s="19"/>
      <c r="U29" s="7" t="s">
        <v>121</v>
      </c>
      <c r="V29" s="8" t="s">
        <v>298</v>
      </c>
      <c r="W29" s="7" t="s">
        <v>119</v>
      </c>
      <c r="X29" s="23"/>
      <c r="Y29" s="31"/>
      <c r="Z29" s="25"/>
      <c r="AA29" s="4" t="s">
        <v>43</v>
      </c>
      <c r="AB29" s="7"/>
      <c r="AC29" s="4" t="s">
        <v>130</v>
      </c>
      <c r="AD29" s="20">
        <v>45786</v>
      </c>
      <c r="AE29" s="16" t="s">
        <v>45</v>
      </c>
      <c r="AG29" s="2" t="s">
        <v>166</v>
      </c>
    </row>
    <row r="30" spans="1:33" ht="83.25" customHeight="1">
      <c r="A30" s="18">
        <v>24</v>
      </c>
      <c r="B30" s="18"/>
      <c r="C30" s="62">
        <v>45785.6479861111</v>
      </c>
      <c r="D30" s="23">
        <v>45785.6480787037</v>
      </c>
      <c r="E30" s="14">
        <v>45785</v>
      </c>
      <c r="F30" s="25" t="s">
        <v>111</v>
      </c>
      <c r="G30" s="7" t="s">
        <v>112</v>
      </c>
      <c r="H30" s="7" t="s">
        <v>299</v>
      </c>
      <c r="I30" s="7" t="s">
        <v>300</v>
      </c>
      <c r="J30" s="8" t="s">
        <v>301</v>
      </c>
      <c r="K30" s="21" t="s">
        <v>302</v>
      </c>
      <c r="L30" s="7" t="s">
        <v>38</v>
      </c>
      <c r="M30" s="7" t="s">
        <v>303</v>
      </c>
      <c r="N30" s="19"/>
      <c r="O30" s="19">
        <v>1000</v>
      </c>
      <c r="P30" s="8" t="s">
        <v>40</v>
      </c>
      <c r="Q30" s="19">
        <v>250000</v>
      </c>
      <c r="R30" s="19">
        <v>1500000</v>
      </c>
      <c r="S30" s="8" t="s">
        <v>96</v>
      </c>
      <c r="T30" s="19"/>
      <c r="U30" s="7" t="s">
        <v>112</v>
      </c>
      <c r="V30" s="8" t="s">
        <v>304</v>
      </c>
      <c r="W30" s="7" t="s">
        <v>119</v>
      </c>
      <c r="X30" s="23"/>
      <c r="Y30" s="31"/>
      <c r="Z30" s="25"/>
      <c r="AA30" s="4" t="s">
        <v>43</v>
      </c>
      <c r="AB30" s="7"/>
      <c r="AC30" s="4" t="s">
        <v>53</v>
      </c>
      <c r="AD30" s="20">
        <v>45785</v>
      </c>
      <c r="AE30" s="16" t="s">
        <v>45</v>
      </c>
      <c r="AG30" s="2" t="s">
        <v>46</v>
      </c>
    </row>
    <row r="31" spans="1:33" ht="83.25" customHeight="1">
      <c r="A31" s="18">
        <v>25</v>
      </c>
      <c r="B31" s="18"/>
      <c r="C31" s="62">
        <v>45786.4816782407</v>
      </c>
      <c r="D31" s="23">
        <v>45786.4855902778</v>
      </c>
      <c r="E31" s="14">
        <v>45786</v>
      </c>
      <c r="F31" s="25" t="s">
        <v>305</v>
      </c>
      <c r="G31" s="7" t="s">
        <v>306</v>
      </c>
      <c r="H31" s="7" t="s">
        <v>307</v>
      </c>
      <c r="I31" s="7" t="s">
        <v>308</v>
      </c>
      <c r="J31" s="8" t="s">
        <v>309</v>
      </c>
      <c r="K31" s="21" t="s">
        <v>310</v>
      </c>
      <c r="L31" s="7" t="s">
        <v>38</v>
      </c>
      <c r="M31" s="7" t="s">
        <v>311</v>
      </c>
      <c r="N31" s="19"/>
      <c r="O31" s="19">
        <v>10000</v>
      </c>
      <c r="P31" s="8" t="s">
        <v>40</v>
      </c>
      <c r="Q31" s="19">
        <v>1500000</v>
      </c>
      <c r="R31" s="19">
        <v>20000000</v>
      </c>
      <c r="S31" s="8" t="s">
        <v>96</v>
      </c>
      <c r="T31" s="19"/>
      <c r="U31" s="7" t="s">
        <v>306</v>
      </c>
      <c r="V31" s="8" t="s">
        <v>312</v>
      </c>
      <c r="W31" s="7" t="s">
        <v>42</v>
      </c>
      <c r="X31" s="23"/>
      <c r="Y31" s="31"/>
      <c r="Z31" s="25"/>
      <c r="AA31" s="4" t="s">
        <v>43</v>
      </c>
      <c r="AB31" s="7"/>
      <c r="AC31" s="4" t="s">
        <v>53</v>
      </c>
      <c r="AD31" s="20">
        <v>45786</v>
      </c>
      <c r="AE31" s="16" t="s">
        <v>45</v>
      </c>
      <c r="AG31" s="2" t="s">
        <v>46</v>
      </c>
    </row>
    <row r="32" spans="1:33" ht="83.25" customHeight="1">
      <c r="A32" s="22">
        <v>26</v>
      </c>
      <c r="B32" s="22"/>
      <c r="C32" s="60">
        <v>45789.445208333302</v>
      </c>
      <c r="D32" s="17">
        <v>45789.456817129598</v>
      </c>
      <c r="E32" s="14">
        <v>45789</v>
      </c>
      <c r="F32" s="32" t="s">
        <v>313</v>
      </c>
      <c r="G32" s="3" t="s">
        <v>314</v>
      </c>
      <c r="H32" s="3" t="s">
        <v>315</v>
      </c>
      <c r="I32" s="3" t="s">
        <v>316</v>
      </c>
      <c r="J32" s="9" t="s">
        <v>317</v>
      </c>
      <c r="K32" s="21" t="s">
        <v>318</v>
      </c>
      <c r="L32" s="7" t="s">
        <v>38</v>
      </c>
      <c r="M32" s="3" t="s">
        <v>319</v>
      </c>
      <c r="O32" s="2">
        <v>15000</v>
      </c>
      <c r="P32" s="9" t="s">
        <v>40</v>
      </c>
      <c r="Q32" s="2">
        <v>1300000</v>
      </c>
      <c r="R32" s="2">
        <v>0</v>
      </c>
      <c r="S32" s="9" t="s">
        <v>320</v>
      </c>
      <c r="U32" s="3" t="s">
        <v>314</v>
      </c>
      <c r="V32" s="9" t="s">
        <v>151</v>
      </c>
      <c r="W32" s="3" t="s">
        <v>152</v>
      </c>
      <c r="X32" s="17">
        <v>45809</v>
      </c>
      <c r="Y32" s="33"/>
      <c r="Z32" s="32"/>
      <c r="AA32" s="4" t="s">
        <v>43</v>
      </c>
      <c r="AB32" s="3"/>
      <c r="AC32" s="4" t="s">
        <v>53</v>
      </c>
      <c r="AD32" s="1">
        <v>45789</v>
      </c>
      <c r="AE32" s="24" t="s">
        <v>82</v>
      </c>
      <c r="AF32" s="2" t="s">
        <v>321</v>
      </c>
      <c r="AG32" s="2" t="s">
        <v>46</v>
      </c>
    </row>
    <row r="33" spans="1:34" ht="83.25" customHeight="1">
      <c r="A33" s="18">
        <v>27</v>
      </c>
      <c r="B33" s="18"/>
      <c r="C33" s="62">
        <v>45789.464270833298</v>
      </c>
      <c r="D33" s="23">
        <v>45789.465543981503</v>
      </c>
      <c r="E33" s="14">
        <v>45790</v>
      </c>
      <c r="F33" s="25" t="s">
        <v>305</v>
      </c>
      <c r="G33" s="7" t="s">
        <v>306</v>
      </c>
      <c r="H33" s="7" t="s">
        <v>322</v>
      </c>
      <c r="I33" s="7" t="s">
        <v>323</v>
      </c>
      <c r="J33" s="8" t="s">
        <v>324</v>
      </c>
      <c r="K33" s="21" t="s">
        <v>325</v>
      </c>
      <c r="L33" s="7" t="s">
        <v>38</v>
      </c>
      <c r="M33" s="7" t="s">
        <v>326</v>
      </c>
      <c r="N33" s="19"/>
      <c r="O33" s="19">
        <v>7000</v>
      </c>
      <c r="P33" s="8" t="s">
        <v>40</v>
      </c>
      <c r="Q33" s="19">
        <v>0</v>
      </c>
      <c r="R33" s="19">
        <v>15000000</v>
      </c>
      <c r="S33" s="8" t="s">
        <v>327</v>
      </c>
      <c r="T33" s="19"/>
      <c r="U33" s="7" t="s">
        <v>306</v>
      </c>
      <c r="V33" s="8" t="s">
        <v>328</v>
      </c>
      <c r="W33" s="7" t="s">
        <v>152</v>
      </c>
      <c r="X33" s="23">
        <v>45870</v>
      </c>
      <c r="Y33" s="31" t="s">
        <v>129</v>
      </c>
      <c r="Z33" s="25"/>
      <c r="AA33" s="4" t="s">
        <v>43</v>
      </c>
      <c r="AB33" s="7"/>
      <c r="AC33" s="4" t="s">
        <v>53</v>
      </c>
      <c r="AD33" s="20">
        <v>45790</v>
      </c>
      <c r="AE33" s="16" t="s">
        <v>174</v>
      </c>
      <c r="AF33" s="2" t="s">
        <v>321</v>
      </c>
      <c r="AG33" s="2" t="s">
        <v>71</v>
      </c>
    </row>
    <row r="34" spans="1:34" ht="83.25" customHeight="1">
      <c r="A34" s="18">
        <v>28</v>
      </c>
      <c r="B34" s="18"/>
      <c r="C34" s="62">
        <v>45790.402037036998</v>
      </c>
      <c r="D34" s="23">
        <v>45790.4043634259</v>
      </c>
      <c r="E34" s="14">
        <v>45790</v>
      </c>
      <c r="F34" s="25" t="s">
        <v>305</v>
      </c>
      <c r="G34" s="7" t="s">
        <v>306</v>
      </c>
      <c r="H34" s="7" t="s">
        <v>329</v>
      </c>
      <c r="I34" s="7" t="s">
        <v>330</v>
      </c>
      <c r="J34" s="8" t="s">
        <v>331</v>
      </c>
      <c r="K34" s="21" t="s">
        <v>332</v>
      </c>
      <c r="L34" s="7" t="s">
        <v>38</v>
      </c>
      <c r="M34" s="7" t="s">
        <v>333</v>
      </c>
      <c r="N34" s="19"/>
      <c r="O34" s="19">
        <v>1500</v>
      </c>
      <c r="P34" s="8" t="s">
        <v>40</v>
      </c>
      <c r="Q34" s="19">
        <v>400000</v>
      </c>
      <c r="R34" s="19">
        <v>10000000</v>
      </c>
      <c r="S34" s="8" t="s">
        <v>327</v>
      </c>
      <c r="T34" s="19"/>
      <c r="U34" s="7" t="s">
        <v>306</v>
      </c>
      <c r="V34" s="8" t="s">
        <v>334</v>
      </c>
      <c r="W34" s="7" t="s">
        <v>42</v>
      </c>
      <c r="X34" s="23"/>
      <c r="Y34" s="31"/>
      <c r="Z34" s="25"/>
      <c r="AA34" s="4" t="s">
        <v>43</v>
      </c>
      <c r="AB34" s="7"/>
      <c r="AC34" s="4" t="s">
        <v>53</v>
      </c>
      <c r="AD34" s="20">
        <v>45790</v>
      </c>
      <c r="AE34" s="16" t="s">
        <v>82</v>
      </c>
      <c r="AG34" s="2" t="s">
        <v>46</v>
      </c>
    </row>
    <row r="35" spans="1:34" ht="83.25" customHeight="1">
      <c r="A35" s="18">
        <v>29</v>
      </c>
      <c r="B35" s="18"/>
      <c r="C35" s="62">
        <v>45791.501365740703</v>
      </c>
      <c r="D35" s="23">
        <v>45791.525127314802</v>
      </c>
      <c r="E35" s="14">
        <v>45791</v>
      </c>
      <c r="F35" s="25" t="s">
        <v>155</v>
      </c>
      <c r="G35" s="7" t="s">
        <v>121</v>
      </c>
      <c r="H35" s="7" t="s">
        <v>335</v>
      </c>
      <c r="I35" s="7" t="s">
        <v>336</v>
      </c>
      <c r="J35" s="8" t="s">
        <v>337</v>
      </c>
      <c r="K35" s="21" t="s">
        <v>338</v>
      </c>
      <c r="L35" s="7" t="s">
        <v>206</v>
      </c>
      <c r="M35" s="7" t="s">
        <v>339</v>
      </c>
      <c r="N35" s="19"/>
      <c r="O35" s="19">
        <v>3600</v>
      </c>
      <c r="P35" s="8" t="s">
        <v>171</v>
      </c>
      <c r="Q35" s="19">
        <v>0</v>
      </c>
      <c r="R35" s="19">
        <v>0</v>
      </c>
      <c r="S35" s="8" t="s">
        <v>340</v>
      </c>
      <c r="T35" s="19"/>
      <c r="U35" s="7" t="s">
        <v>341</v>
      </c>
      <c r="V35" s="8" t="s">
        <v>342</v>
      </c>
      <c r="W35" s="7" t="s">
        <v>119</v>
      </c>
      <c r="X35" s="23"/>
      <c r="Y35" s="31"/>
      <c r="Z35" s="25"/>
      <c r="AA35" s="4" t="s">
        <v>43</v>
      </c>
      <c r="AB35" s="7"/>
      <c r="AC35" s="4" t="s">
        <v>130</v>
      </c>
      <c r="AD35" s="20">
        <v>45791</v>
      </c>
      <c r="AE35" s="16" t="s">
        <v>82</v>
      </c>
      <c r="AG35" s="2" t="s">
        <v>132</v>
      </c>
    </row>
    <row r="36" spans="1:34" ht="83.25" customHeight="1">
      <c r="A36" s="22">
        <v>30</v>
      </c>
      <c r="B36" s="22"/>
      <c r="C36" s="60">
        <v>45792.471111111103</v>
      </c>
      <c r="D36" s="17">
        <v>45792.488680555602</v>
      </c>
      <c r="E36" s="14">
        <v>45793</v>
      </c>
      <c r="F36" s="32" t="s">
        <v>251</v>
      </c>
      <c r="G36" s="3" t="s">
        <v>252</v>
      </c>
      <c r="H36" s="3" t="s">
        <v>343</v>
      </c>
      <c r="I36" s="3" t="s">
        <v>344</v>
      </c>
      <c r="J36" s="9" t="s">
        <v>344</v>
      </c>
      <c r="K36" s="21" t="s">
        <v>345</v>
      </c>
      <c r="L36" s="64" t="s">
        <v>346</v>
      </c>
      <c r="M36" s="3" t="s">
        <v>347</v>
      </c>
      <c r="O36" s="2">
        <v>5000</v>
      </c>
      <c r="P36" s="9" t="s">
        <v>40</v>
      </c>
      <c r="Q36" s="2">
        <v>700000</v>
      </c>
      <c r="R36" s="2">
        <v>3600000</v>
      </c>
      <c r="S36" s="9" t="s">
        <v>348</v>
      </c>
      <c r="U36" s="3" t="s">
        <v>252</v>
      </c>
      <c r="V36" s="9" t="s">
        <v>349</v>
      </c>
      <c r="W36" s="3" t="s">
        <v>152</v>
      </c>
      <c r="X36" s="17">
        <v>45838</v>
      </c>
      <c r="Y36" s="32"/>
      <c r="Z36" s="32"/>
      <c r="AA36" s="4" t="s">
        <v>69</v>
      </c>
      <c r="AB36" s="3"/>
      <c r="AC36" s="4" t="s">
        <v>44</v>
      </c>
      <c r="AD36" s="1"/>
      <c r="AE36" s="24" t="s">
        <v>106</v>
      </c>
      <c r="AG36" s="2" t="s">
        <v>71</v>
      </c>
    </row>
    <row r="37" spans="1:34" ht="83.25" customHeight="1">
      <c r="A37" s="18">
        <v>31</v>
      </c>
      <c r="B37" s="18"/>
      <c r="C37" s="62">
        <v>45792.511643518497</v>
      </c>
      <c r="D37" s="23">
        <v>45792.526435185202</v>
      </c>
      <c r="E37" s="14">
        <v>45793</v>
      </c>
      <c r="F37" s="25" t="s">
        <v>350</v>
      </c>
      <c r="G37" s="7" t="s">
        <v>55</v>
      </c>
      <c r="H37" s="7" t="s">
        <v>351</v>
      </c>
      <c r="I37" s="7" t="s">
        <v>352</v>
      </c>
      <c r="J37" s="8" t="s">
        <v>353</v>
      </c>
      <c r="K37" s="21" t="s">
        <v>354</v>
      </c>
      <c r="L37" s="7" t="s">
        <v>38</v>
      </c>
      <c r="M37" s="7" t="s">
        <v>355</v>
      </c>
      <c r="N37" s="19"/>
      <c r="O37" s="19">
        <v>1000</v>
      </c>
      <c r="P37" s="8" t="s">
        <v>40</v>
      </c>
      <c r="Q37" s="19">
        <v>60000</v>
      </c>
      <c r="R37" s="19">
        <v>0</v>
      </c>
      <c r="S37" s="8" t="s">
        <v>96</v>
      </c>
      <c r="T37" s="19"/>
      <c r="U37" s="7" t="s">
        <v>55</v>
      </c>
      <c r="V37" s="8" t="s">
        <v>151</v>
      </c>
      <c r="W37" s="7" t="s">
        <v>42</v>
      </c>
      <c r="X37" s="23"/>
      <c r="Y37" s="25"/>
      <c r="Z37" s="25"/>
      <c r="AA37" s="4" t="s">
        <v>356</v>
      </c>
      <c r="AB37" s="25" t="s">
        <v>129</v>
      </c>
      <c r="AC37" s="4" t="s">
        <v>44</v>
      </c>
      <c r="AD37" s="20">
        <v>45793</v>
      </c>
      <c r="AE37" s="16" t="s">
        <v>259</v>
      </c>
      <c r="AG37" s="2" t="s">
        <v>71</v>
      </c>
    </row>
    <row r="38" spans="1:34" ht="83.25" customHeight="1">
      <c r="A38" s="22">
        <v>32</v>
      </c>
      <c r="B38" s="22"/>
      <c r="C38" s="60">
        <v>45792.872141203698</v>
      </c>
      <c r="D38" s="17">
        <v>45792.874629629601</v>
      </c>
      <c r="E38" s="14">
        <v>45793</v>
      </c>
      <c r="F38" s="32" t="s">
        <v>357</v>
      </c>
      <c r="G38" s="3" t="s">
        <v>358</v>
      </c>
      <c r="H38" s="3" t="s">
        <v>359</v>
      </c>
      <c r="I38" s="3" t="s">
        <v>360</v>
      </c>
      <c r="J38" s="9" t="s">
        <v>361</v>
      </c>
      <c r="K38" s="21" t="s">
        <v>362</v>
      </c>
      <c r="L38" s="7" t="s">
        <v>38</v>
      </c>
      <c r="M38" s="3" t="s">
        <v>363</v>
      </c>
      <c r="O38" s="2">
        <v>10000</v>
      </c>
      <c r="P38" s="9" t="s">
        <v>40</v>
      </c>
      <c r="Q38" s="2">
        <v>0</v>
      </c>
      <c r="R38" s="2">
        <v>0</v>
      </c>
      <c r="S38" s="9" t="s">
        <v>364</v>
      </c>
      <c r="U38" s="3" t="s">
        <v>365</v>
      </c>
      <c r="V38" s="9" t="s">
        <v>96</v>
      </c>
      <c r="W38" s="3" t="s">
        <v>119</v>
      </c>
      <c r="Y38" s="32"/>
      <c r="Z38" s="32"/>
      <c r="AA38" s="4" t="s">
        <v>356</v>
      </c>
      <c r="AB38" s="73"/>
      <c r="AC38" s="4" t="s">
        <v>130</v>
      </c>
      <c r="AD38" s="1">
        <v>45839</v>
      </c>
      <c r="AE38" s="24" t="s">
        <v>366</v>
      </c>
      <c r="AG38" s="2" t="s">
        <v>132</v>
      </c>
    </row>
    <row r="39" spans="1:34" ht="83.25" customHeight="1">
      <c r="A39" s="18">
        <v>33</v>
      </c>
      <c r="B39" s="18"/>
      <c r="C39" s="62">
        <v>45792.943518518499</v>
      </c>
      <c r="D39" s="23">
        <v>45792.952106481498</v>
      </c>
      <c r="E39" s="14">
        <v>45793</v>
      </c>
      <c r="F39" s="25" t="s">
        <v>241</v>
      </c>
      <c r="G39" s="7" t="s">
        <v>242</v>
      </c>
      <c r="H39" s="7" t="s">
        <v>367</v>
      </c>
      <c r="I39" s="7" t="s">
        <v>368</v>
      </c>
      <c r="J39" s="8" t="s">
        <v>369</v>
      </c>
      <c r="K39" s="21" t="s">
        <v>370</v>
      </c>
      <c r="L39" s="7" t="s">
        <v>206</v>
      </c>
      <c r="M39" s="7" t="s">
        <v>371</v>
      </c>
      <c r="N39" s="19"/>
      <c r="O39" s="19">
        <v>1800</v>
      </c>
      <c r="P39" s="8" t="s">
        <v>268</v>
      </c>
      <c r="Q39" s="19">
        <v>1.35</v>
      </c>
      <c r="R39" s="19">
        <v>10000</v>
      </c>
      <c r="S39" s="8" t="s">
        <v>372</v>
      </c>
      <c r="T39" s="19"/>
      <c r="U39" s="7" t="s">
        <v>242</v>
      </c>
      <c r="V39" s="8" t="s">
        <v>373</v>
      </c>
      <c r="W39" s="7" t="s">
        <v>119</v>
      </c>
      <c r="X39" s="23"/>
      <c r="Y39" s="25"/>
      <c r="Z39" s="25"/>
      <c r="AA39" s="4" t="s">
        <v>43</v>
      </c>
      <c r="AB39" s="7"/>
      <c r="AC39" s="4" t="s">
        <v>44</v>
      </c>
      <c r="AD39" s="20">
        <v>45793</v>
      </c>
      <c r="AE39" s="16" t="s">
        <v>45</v>
      </c>
      <c r="AG39" s="2" t="s">
        <v>132</v>
      </c>
    </row>
    <row r="40" spans="1:34" ht="83.25" customHeight="1">
      <c r="A40" s="18">
        <v>34</v>
      </c>
      <c r="B40" s="18"/>
      <c r="C40" s="62">
        <v>45796.713750000003</v>
      </c>
      <c r="D40" s="23">
        <v>45796.729953703703</v>
      </c>
      <c r="E40" s="14">
        <v>45797</v>
      </c>
      <c r="F40" s="25" t="s">
        <v>374</v>
      </c>
      <c r="G40" s="7" t="s">
        <v>133</v>
      </c>
      <c r="H40" s="7" t="s">
        <v>375</v>
      </c>
      <c r="I40" s="7" t="s">
        <v>376</v>
      </c>
      <c r="J40" s="8" t="s">
        <v>376</v>
      </c>
      <c r="K40" s="21" t="s">
        <v>377</v>
      </c>
      <c r="L40" s="7" t="s">
        <v>206</v>
      </c>
      <c r="M40" s="7" t="s">
        <v>378</v>
      </c>
      <c r="N40" s="19"/>
      <c r="O40" s="19">
        <v>23000</v>
      </c>
      <c r="P40" s="8" t="s">
        <v>379</v>
      </c>
      <c r="Q40" s="19">
        <v>46000</v>
      </c>
      <c r="R40" s="19">
        <v>100000000</v>
      </c>
      <c r="S40" s="8" t="s">
        <v>380</v>
      </c>
      <c r="T40" s="19"/>
      <c r="U40" s="7" t="s">
        <v>176</v>
      </c>
      <c r="V40" s="8" t="s">
        <v>381</v>
      </c>
      <c r="W40" s="7" t="s">
        <v>119</v>
      </c>
      <c r="X40" s="23"/>
      <c r="Y40" s="25"/>
      <c r="Z40" s="25"/>
      <c r="AA40" s="4" t="s">
        <v>43</v>
      </c>
      <c r="AB40" s="7"/>
      <c r="AC40" s="4" t="s">
        <v>130</v>
      </c>
      <c r="AD40" s="20">
        <v>45798</v>
      </c>
      <c r="AE40" s="16" t="s">
        <v>45</v>
      </c>
      <c r="AG40" s="2" t="s">
        <v>132</v>
      </c>
    </row>
    <row r="41" spans="1:34" ht="83.25" customHeight="1">
      <c r="A41" s="18">
        <v>35</v>
      </c>
      <c r="B41" s="18"/>
      <c r="C41" s="62">
        <v>45798.066377314797</v>
      </c>
      <c r="D41" s="23">
        <v>45798.068773148101</v>
      </c>
      <c r="E41" s="14">
        <v>45798</v>
      </c>
      <c r="F41" s="25" t="s">
        <v>241</v>
      </c>
      <c r="G41" s="7" t="s">
        <v>242</v>
      </c>
      <c r="H41" s="7" t="s">
        <v>382</v>
      </c>
      <c r="I41" s="7" t="s">
        <v>383</v>
      </c>
      <c r="J41" s="8" t="s">
        <v>383</v>
      </c>
      <c r="K41" s="21" t="s">
        <v>246</v>
      </c>
      <c r="L41" s="7" t="s">
        <v>38</v>
      </c>
      <c r="M41" s="7" t="s">
        <v>384</v>
      </c>
      <c r="N41" s="19"/>
      <c r="O41" s="19">
        <v>1800</v>
      </c>
      <c r="P41" s="8" t="s">
        <v>385</v>
      </c>
      <c r="Q41" s="19">
        <v>21</v>
      </c>
      <c r="R41" s="19">
        <v>0</v>
      </c>
      <c r="S41" s="8" t="s">
        <v>386</v>
      </c>
      <c r="T41" s="19"/>
      <c r="U41" s="7" t="s">
        <v>387</v>
      </c>
      <c r="V41" s="8" t="s">
        <v>388</v>
      </c>
      <c r="W41" s="7" t="s">
        <v>119</v>
      </c>
      <c r="X41" s="23"/>
      <c r="Y41" s="25"/>
      <c r="Z41" s="25"/>
      <c r="AA41" s="4" t="s">
        <v>43</v>
      </c>
      <c r="AB41" s="7"/>
      <c r="AC41" s="4" t="s">
        <v>44</v>
      </c>
      <c r="AD41" s="20">
        <v>45855</v>
      </c>
      <c r="AE41" s="16" t="s">
        <v>45</v>
      </c>
      <c r="AG41" s="2" t="s">
        <v>71</v>
      </c>
    </row>
    <row r="42" spans="1:34" s="41" customFormat="1" ht="83.25" customHeight="1">
      <c r="A42" s="43">
        <v>36</v>
      </c>
      <c r="B42" s="43"/>
      <c r="C42" s="63">
        <v>45800.715925925899</v>
      </c>
      <c r="D42" s="45">
        <v>45800.720497685201</v>
      </c>
      <c r="E42" s="14">
        <v>45804</v>
      </c>
      <c r="F42" s="47" t="s">
        <v>155</v>
      </c>
      <c r="G42" s="48" t="s">
        <v>121</v>
      </c>
      <c r="H42" s="48" t="s">
        <v>389</v>
      </c>
      <c r="I42" s="48" t="s">
        <v>390</v>
      </c>
      <c r="J42" s="49" t="s">
        <v>391</v>
      </c>
      <c r="K42" s="42" t="s">
        <v>296</v>
      </c>
      <c r="L42" s="64" t="s">
        <v>206</v>
      </c>
      <c r="M42" s="48" t="s">
        <v>392</v>
      </c>
      <c r="N42" s="44"/>
      <c r="O42" s="44">
        <v>27000</v>
      </c>
      <c r="P42" s="49" t="s">
        <v>171</v>
      </c>
      <c r="Q42" s="44">
        <v>0</v>
      </c>
      <c r="R42" s="44">
        <v>0</v>
      </c>
      <c r="S42" s="49" t="s">
        <v>171</v>
      </c>
      <c r="T42" s="44"/>
      <c r="U42" s="48" t="s">
        <v>121</v>
      </c>
      <c r="V42" s="49" t="s">
        <v>393</v>
      </c>
      <c r="W42" s="48" t="s">
        <v>119</v>
      </c>
      <c r="X42" s="45"/>
      <c r="Y42" s="47"/>
      <c r="Z42" s="47"/>
      <c r="AA42" s="4" t="s">
        <v>43</v>
      </c>
      <c r="AB42" s="48"/>
      <c r="AC42" s="4" t="s">
        <v>130</v>
      </c>
      <c r="AD42" s="46">
        <v>45847</v>
      </c>
      <c r="AE42" s="50" t="s">
        <v>106</v>
      </c>
      <c r="AF42" s="41" t="s">
        <v>394</v>
      </c>
      <c r="AG42" s="41" t="s">
        <v>132</v>
      </c>
    </row>
    <row r="43" spans="1:34" ht="83.25" customHeight="1">
      <c r="A43" s="18">
        <v>37</v>
      </c>
      <c r="B43" s="18"/>
      <c r="C43" s="62">
        <v>45803.4758449074</v>
      </c>
      <c r="D43" s="23">
        <v>45803.482152777797</v>
      </c>
      <c r="E43" s="14">
        <v>45803</v>
      </c>
      <c r="F43" s="25" t="s">
        <v>395</v>
      </c>
      <c r="G43" s="7" t="s">
        <v>396</v>
      </c>
      <c r="H43" s="7" t="s">
        <v>397</v>
      </c>
      <c r="I43" s="7" t="s">
        <v>398</v>
      </c>
      <c r="J43" s="8" t="s">
        <v>399</v>
      </c>
      <c r="K43" s="21" t="s">
        <v>400</v>
      </c>
      <c r="L43" s="7" t="s">
        <v>38</v>
      </c>
      <c r="M43" s="26" t="s">
        <v>401</v>
      </c>
      <c r="N43" s="19"/>
      <c r="O43" s="19">
        <v>3000</v>
      </c>
      <c r="P43" s="8" t="s">
        <v>40</v>
      </c>
      <c r="Q43" s="19">
        <v>0</v>
      </c>
      <c r="R43" s="19">
        <v>0</v>
      </c>
      <c r="S43" s="8" t="s">
        <v>402</v>
      </c>
      <c r="T43" s="19"/>
      <c r="U43" s="7" t="s">
        <v>403</v>
      </c>
      <c r="V43" s="8" t="s">
        <v>404</v>
      </c>
      <c r="W43" s="7" t="s">
        <v>42</v>
      </c>
      <c r="X43" s="23"/>
      <c r="Y43" s="25"/>
      <c r="Z43" s="25"/>
      <c r="AA43" s="4" t="s">
        <v>43</v>
      </c>
      <c r="AB43" s="7"/>
      <c r="AC43" s="4" t="s">
        <v>53</v>
      </c>
      <c r="AD43" s="20">
        <v>45805</v>
      </c>
      <c r="AE43" s="16" t="s">
        <v>45</v>
      </c>
      <c r="AG43" s="2" t="s">
        <v>46</v>
      </c>
    </row>
    <row r="44" spans="1:34" s="41" customFormat="1" ht="83.25" customHeight="1">
      <c r="A44" s="43">
        <v>38</v>
      </c>
      <c r="B44" s="43"/>
      <c r="C44" s="63">
        <v>45804.617407407401</v>
      </c>
      <c r="D44" s="45">
        <v>45804.624965277799</v>
      </c>
      <c r="E44" s="14">
        <v>45806</v>
      </c>
      <c r="F44" s="47" t="s">
        <v>405</v>
      </c>
      <c r="G44" s="48" t="s">
        <v>406</v>
      </c>
      <c r="H44" s="48" t="s">
        <v>407</v>
      </c>
      <c r="I44" s="48" t="s">
        <v>408</v>
      </c>
      <c r="J44" s="49" t="s">
        <v>409</v>
      </c>
      <c r="K44" s="42" t="s">
        <v>410</v>
      </c>
      <c r="L44" s="7" t="s">
        <v>38</v>
      </c>
      <c r="M44" s="48" t="s">
        <v>411</v>
      </c>
      <c r="N44" s="44"/>
      <c r="O44" s="44">
        <v>2000</v>
      </c>
      <c r="P44" s="49" t="s">
        <v>412</v>
      </c>
      <c r="Q44" s="44">
        <v>55000</v>
      </c>
      <c r="R44" s="44">
        <v>800000</v>
      </c>
      <c r="S44" s="49" t="s">
        <v>413</v>
      </c>
      <c r="T44" s="44"/>
      <c r="U44" s="48" t="s">
        <v>414</v>
      </c>
      <c r="V44" s="49" t="s">
        <v>415</v>
      </c>
      <c r="W44" s="48" t="s">
        <v>119</v>
      </c>
      <c r="X44" s="45"/>
      <c r="Y44" s="47"/>
      <c r="Z44" s="47"/>
      <c r="AA44" s="4" t="s">
        <v>356</v>
      </c>
      <c r="AB44" s="25" t="s">
        <v>129</v>
      </c>
      <c r="AC44" s="4" t="s">
        <v>416</v>
      </c>
      <c r="AD44" s="46">
        <v>45835</v>
      </c>
      <c r="AE44" s="50" t="s">
        <v>417</v>
      </c>
      <c r="AG44" s="41" t="s">
        <v>71</v>
      </c>
    </row>
    <row r="45" spans="1:34" s="41" customFormat="1" ht="83.25" customHeight="1">
      <c r="A45" s="43">
        <v>39</v>
      </c>
      <c r="B45" s="43"/>
      <c r="C45" s="63">
        <v>45806.689143518503</v>
      </c>
      <c r="D45" s="45">
        <v>45806.693159722199</v>
      </c>
      <c r="E45" s="14">
        <v>45807</v>
      </c>
      <c r="F45" s="47" t="s">
        <v>405</v>
      </c>
      <c r="G45" s="48" t="s">
        <v>406</v>
      </c>
      <c r="H45" s="48" t="s">
        <v>418</v>
      </c>
      <c r="I45" s="48" t="s">
        <v>419</v>
      </c>
      <c r="J45" s="49" t="s">
        <v>420</v>
      </c>
      <c r="K45" s="42" t="s">
        <v>421</v>
      </c>
      <c r="L45" s="7" t="s">
        <v>38</v>
      </c>
      <c r="M45" s="48" t="s">
        <v>422</v>
      </c>
      <c r="N45" s="44"/>
      <c r="O45" s="44">
        <v>5000</v>
      </c>
      <c r="P45" s="49" t="s">
        <v>423</v>
      </c>
      <c r="Q45" s="44">
        <v>50000</v>
      </c>
      <c r="R45" s="44">
        <v>500000</v>
      </c>
      <c r="S45" s="49" t="s">
        <v>424</v>
      </c>
      <c r="T45" s="44"/>
      <c r="U45" s="48" t="s">
        <v>414</v>
      </c>
      <c r="V45" s="49" t="s">
        <v>425</v>
      </c>
      <c r="W45" s="48" t="s">
        <v>119</v>
      </c>
      <c r="X45" s="45"/>
      <c r="Y45" s="47"/>
      <c r="Z45" s="47"/>
      <c r="AA45" s="4" t="s">
        <v>356</v>
      </c>
      <c r="AB45" s="25" t="s">
        <v>129</v>
      </c>
      <c r="AC45" s="4" t="s">
        <v>416</v>
      </c>
      <c r="AD45" s="46">
        <v>45834</v>
      </c>
      <c r="AE45" s="50" t="s">
        <v>426</v>
      </c>
      <c r="AG45" s="41" t="s">
        <v>71</v>
      </c>
    </row>
    <row r="46" spans="1:34" ht="83.25" customHeight="1">
      <c r="A46" s="18">
        <v>40</v>
      </c>
      <c r="B46" s="18"/>
      <c r="C46" s="62">
        <v>45807.569687499999</v>
      </c>
      <c r="D46" s="23">
        <v>45807.587280092601</v>
      </c>
      <c r="E46" s="14">
        <v>45807</v>
      </c>
      <c r="F46" s="25" t="s">
        <v>111</v>
      </c>
      <c r="G46" s="7" t="s">
        <v>112</v>
      </c>
      <c r="H46" s="7" t="s">
        <v>427</v>
      </c>
      <c r="I46" s="7" t="s">
        <v>428</v>
      </c>
      <c r="J46" s="8" t="s">
        <v>429</v>
      </c>
      <c r="K46" s="21" t="s">
        <v>430</v>
      </c>
      <c r="L46" s="7" t="s">
        <v>38</v>
      </c>
      <c r="M46" s="26" t="s">
        <v>431</v>
      </c>
      <c r="N46" s="19"/>
      <c r="O46" s="19">
        <v>1000</v>
      </c>
      <c r="P46" s="8" t="s">
        <v>40</v>
      </c>
      <c r="Q46" s="19">
        <v>50000</v>
      </c>
      <c r="R46" s="19">
        <v>2000000</v>
      </c>
      <c r="S46" s="8" t="s">
        <v>432</v>
      </c>
      <c r="T46" s="19"/>
      <c r="U46" s="7" t="s">
        <v>112</v>
      </c>
      <c r="V46" s="8" t="s">
        <v>433</v>
      </c>
      <c r="W46" s="7" t="s">
        <v>42</v>
      </c>
      <c r="X46" s="23"/>
      <c r="Y46" s="25"/>
      <c r="Z46" s="25"/>
      <c r="AA46" s="4" t="s">
        <v>43</v>
      </c>
      <c r="AB46" s="7"/>
      <c r="AC46" s="4" t="s">
        <v>53</v>
      </c>
      <c r="AD46" s="20">
        <v>45807</v>
      </c>
      <c r="AE46" s="16" t="s">
        <v>54</v>
      </c>
      <c r="AG46" s="2" t="s">
        <v>46</v>
      </c>
    </row>
    <row r="47" spans="1:34" s="41" customFormat="1" ht="83.25" customHeight="1">
      <c r="A47" s="43">
        <v>41</v>
      </c>
      <c r="B47" s="43"/>
      <c r="C47" s="63">
        <v>45818.004745370403</v>
      </c>
      <c r="D47" s="45">
        <v>45818.009282407402</v>
      </c>
      <c r="E47" s="14">
        <v>45818</v>
      </c>
      <c r="F47" s="47" t="s">
        <v>241</v>
      </c>
      <c r="G47" s="48" t="s">
        <v>242</v>
      </c>
      <c r="H47" s="48" t="s">
        <v>434</v>
      </c>
      <c r="I47" s="48" t="s">
        <v>435</v>
      </c>
      <c r="J47" s="49" t="s">
        <v>436</v>
      </c>
      <c r="K47" s="42" t="s">
        <v>437</v>
      </c>
      <c r="L47" s="7" t="s">
        <v>38</v>
      </c>
      <c r="M47" s="51" t="s">
        <v>438</v>
      </c>
      <c r="N47" s="44"/>
      <c r="O47" s="44">
        <v>2000</v>
      </c>
      <c r="P47" s="49" t="s">
        <v>385</v>
      </c>
      <c r="Q47" s="44">
        <v>2.08</v>
      </c>
      <c r="R47" s="44">
        <v>0</v>
      </c>
      <c r="S47" s="49" t="s">
        <v>439</v>
      </c>
      <c r="T47" s="44"/>
      <c r="U47" s="48" t="s">
        <v>242</v>
      </c>
      <c r="V47" s="49" t="s">
        <v>151</v>
      </c>
      <c r="W47" s="48" t="s">
        <v>119</v>
      </c>
      <c r="X47" s="45"/>
      <c r="Y47" s="47"/>
      <c r="Z47" s="47"/>
      <c r="AA47" s="4" t="s">
        <v>43</v>
      </c>
      <c r="AB47" s="68"/>
      <c r="AC47" s="4" t="s">
        <v>44</v>
      </c>
      <c r="AD47" s="46">
        <v>45818</v>
      </c>
      <c r="AE47" s="50" t="s">
        <v>45</v>
      </c>
      <c r="AG47" s="41" t="s">
        <v>71</v>
      </c>
      <c r="AH47" s="41" t="s">
        <v>440</v>
      </c>
    </row>
    <row r="48" spans="1:34" s="41" customFormat="1" ht="83.25" customHeight="1">
      <c r="A48" s="43">
        <v>42</v>
      </c>
      <c r="B48" s="43"/>
      <c r="C48" s="63">
        <v>45818.671192129601</v>
      </c>
      <c r="D48" s="45">
        <v>45818.688391203701</v>
      </c>
      <c r="E48" s="14">
        <v>45819</v>
      </c>
      <c r="F48" s="47" t="s">
        <v>374</v>
      </c>
      <c r="G48" s="48" t="s">
        <v>133</v>
      </c>
      <c r="H48" s="48" t="s">
        <v>441</v>
      </c>
      <c r="I48" s="48" t="s">
        <v>442</v>
      </c>
      <c r="J48" s="49" t="s">
        <v>443</v>
      </c>
      <c r="K48" s="42" t="s">
        <v>444</v>
      </c>
      <c r="L48" s="7" t="s">
        <v>38</v>
      </c>
      <c r="M48" s="51" t="s">
        <v>445</v>
      </c>
      <c r="N48" s="44"/>
      <c r="O48" s="44">
        <v>9000</v>
      </c>
      <c r="P48" s="49" t="s">
        <v>40</v>
      </c>
      <c r="Q48" s="44">
        <v>103500</v>
      </c>
      <c r="R48" s="44">
        <v>1150000</v>
      </c>
      <c r="S48" s="49" t="s">
        <v>446</v>
      </c>
      <c r="T48" s="44"/>
      <c r="U48" s="48" t="s">
        <v>447</v>
      </c>
      <c r="V48" s="49" t="s">
        <v>448</v>
      </c>
      <c r="W48" s="48" t="s">
        <v>119</v>
      </c>
      <c r="X48" s="45"/>
      <c r="Y48" s="47"/>
      <c r="Z48" s="47"/>
      <c r="AA48" s="4" t="s">
        <v>356</v>
      </c>
      <c r="AB48" s="77" t="s">
        <v>129</v>
      </c>
      <c r="AC48" s="4" t="s">
        <v>130</v>
      </c>
      <c r="AD48" s="46"/>
      <c r="AE48" s="50" t="s">
        <v>417</v>
      </c>
      <c r="AG48" s="41" t="s">
        <v>71</v>
      </c>
    </row>
    <row r="49" spans="1:34" ht="83.25" customHeight="1">
      <c r="A49" s="18">
        <v>43</v>
      </c>
      <c r="B49" s="18"/>
      <c r="C49" s="62">
        <v>45819.634039351797</v>
      </c>
      <c r="D49" s="23">
        <v>45819.640636574099</v>
      </c>
      <c r="E49" s="14">
        <v>45820</v>
      </c>
      <c r="F49" s="25" t="s">
        <v>155</v>
      </c>
      <c r="G49" s="7" t="s">
        <v>121</v>
      </c>
      <c r="H49" s="7" t="s">
        <v>449</v>
      </c>
      <c r="I49" s="7" t="s">
        <v>450</v>
      </c>
      <c r="J49" s="8" t="s">
        <v>451</v>
      </c>
      <c r="K49" s="21" t="s">
        <v>362</v>
      </c>
      <c r="L49" s="7" t="s">
        <v>60</v>
      </c>
      <c r="M49" s="26" t="s">
        <v>452</v>
      </c>
      <c r="N49" s="19"/>
      <c r="O49" s="19">
        <v>23000</v>
      </c>
      <c r="P49" s="8" t="s">
        <v>96</v>
      </c>
      <c r="Q49" s="19">
        <v>0</v>
      </c>
      <c r="R49" s="19">
        <v>30000000</v>
      </c>
      <c r="S49" s="8" t="s">
        <v>453</v>
      </c>
      <c r="T49" s="19"/>
      <c r="U49" s="7" t="s">
        <v>121</v>
      </c>
      <c r="V49" s="8" t="s">
        <v>454</v>
      </c>
      <c r="W49" s="7" t="s">
        <v>119</v>
      </c>
      <c r="X49" s="23"/>
      <c r="Y49" s="25"/>
      <c r="Z49" s="25"/>
      <c r="AA49" s="4" t="s">
        <v>43</v>
      </c>
      <c r="AB49" s="7"/>
      <c r="AC49" s="4" t="s">
        <v>130</v>
      </c>
      <c r="AD49" s="20">
        <v>45826</v>
      </c>
      <c r="AE49" s="16" t="s">
        <v>45</v>
      </c>
      <c r="AF49" s="2" t="s">
        <v>455</v>
      </c>
      <c r="AG49" s="2" t="s">
        <v>132</v>
      </c>
    </row>
    <row r="50" spans="1:34" ht="83.25" customHeight="1">
      <c r="A50" s="18">
        <v>44</v>
      </c>
      <c r="B50" s="18"/>
      <c r="C50" s="62">
        <v>45819.640868055598</v>
      </c>
      <c r="D50" s="23">
        <v>45819.654652777797</v>
      </c>
      <c r="E50" s="14">
        <v>45820</v>
      </c>
      <c r="F50" s="25" t="s">
        <v>155</v>
      </c>
      <c r="G50" s="7" t="s">
        <v>121</v>
      </c>
      <c r="H50" s="7" t="s">
        <v>449</v>
      </c>
      <c r="I50" s="7" t="s">
        <v>456</v>
      </c>
      <c r="J50" s="8" t="s">
        <v>457</v>
      </c>
      <c r="K50" s="21" t="s">
        <v>458</v>
      </c>
      <c r="L50" s="7" t="s">
        <v>60</v>
      </c>
      <c r="M50" s="26" t="s">
        <v>459</v>
      </c>
      <c r="N50" s="19"/>
      <c r="O50" s="19">
        <v>24000</v>
      </c>
      <c r="P50" s="8" t="s">
        <v>171</v>
      </c>
      <c r="Q50" s="19">
        <v>0</v>
      </c>
      <c r="R50" s="19">
        <v>3</v>
      </c>
      <c r="S50" s="8" t="s">
        <v>460</v>
      </c>
      <c r="T50" s="19"/>
      <c r="U50" s="7" t="s">
        <v>461</v>
      </c>
      <c r="V50" s="8" t="s">
        <v>171</v>
      </c>
      <c r="W50" s="7" t="s">
        <v>119</v>
      </c>
      <c r="X50" s="23"/>
      <c r="Y50" s="25"/>
      <c r="Z50" s="25"/>
      <c r="AA50" s="4" t="s">
        <v>43</v>
      </c>
      <c r="AB50" s="7"/>
      <c r="AC50" s="4" t="s">
        <v>130</v>
      </c>
      <c r="AD50" s="20">
        <v>45826</v>
      </c>
      <c r="AE50" s="16" t="s">
        <v>45</v>
      </c>
      <c r="AG50" s="2" t="s">
        <v>132</v>
      </c>
    </row>
    <row r="51" spans="1:34" ht="83.25" customHeight="1">
      <c r="A51" s="18">
        <v>45</v>
      </c>
      <c r="B51" s="18"/>
      <c r="C51" s="62">
        <v>45820.753067129597</v>
      </c>
      <c r="D51" s="23">
        <v>45820.755277777796</v>
      </c>
      <c r="E51" s="14">
        <v>45821</v>
      </c>
      <c r="F51" s="25" t="s">
        <v>241</v>
      </c>
      <c r="G51" s="7" t="s">
        <v>242</v>
      </c>
      <c r="H51" s="7" t="s">
        <v>462</v>
      </c>
      <c r="I51" s="7" t="s">
        <v>463</v>
      </c>
      <c r="J51" s="8" t="s">
        <v>464</v>
      </c>
      <c r="K51" s="21" t="s">
        <v>246</v>
      </c>
      <c r="L51" s="7" t="s">
        <v>206</v>
      </c>
      <c r="M51" s="26" t="s">
        <v>465</v>
      </c>
      <c r="N51" s="19"/>
      <c r="O51" s="19">
        <v>1800</v>
      </c>
      <c r="P51" s="8" t="s">
        <v>466</v>
      </c>
      <c r="Q51" s="19">
        <v>2.81</v>
      </c>
      <c r="R51" s="19">
        <v>0</v>
      </c>
      <c r="S51" s="8" t="s">
        <v>467</v>
      </c>
      <c r="T51" s="19"/>
      <c r="U51" s="7" t="s">
        <v>242</v>
      </c>
      <c r="V51" s="8" t="s">
        <v>151</v>
      </c>
      <c r="W51" s="7" t="s">
        <v>119</v>
      </c>
      <c r="X51" s="23"/>
      <c r="Y51" s="25"/>
      <c r="Z51" s="25"/>
      <c r="AA51" s="4" t="s">
        <v>43</v>
      </c>
      <c r="AB51" s="7"/>
      <c r="AC51" s="4" t="s">
        <v>44</v>
      </c>
      <c r="AD51" s="20">
        <v>45821</v>
      </c>
      <c r="AE51" s="16" t="s">
        <v>229</v>
      </c>
      <c r="AG51" s="2" t="s">
        <v>71</v>
      </c>
    </row>
    <row r="52" spans="1:34" ht="83.25" customHeight="1">
      <c r="A52" s="22">
        <v>46</v>
      </c>
      <c r="B52" s="22"/>
      <c r="C52" s="60">
        <v>45820.926736111098</v>
      </c>
      <c r="D52" s="17">
        <v>45820.928009259304</v>
      </c>
      <c r="E52" s="14">
        <v>45820</v>
      </c>
      <c r="F52" s="32" t="s">
        <v>468</v>
      </c>
      <c r="G52" s="3" t="s">
        <v>469</v>
      </c>
      <c r="H52" s="3" t="s">
        <v>470</v>
      </c>
      <c r="I52" s="3" t="s">
        <v>471</v>
      </c>
      <c r="J52" s="9" t="s">
        <v>472</v>
      </c>
      <c r="K52" s="21" t="s">
        <v>246</v>
      </c>
      <c r="L52" s="7" t="s">
        <v>38</v>
      </c>
      <c r="M52" s="38" t="s">
        <v>473</v>
      </c>
      <c r="O52" s="2">
        <v>1900</v>
      </c>
      <c r="P52" s="9" t="s">
        <v>474</v>
      </c>
      <c r="Q52" s="2">
        <v>99999</v>
      </c>
      <c r="R52" s="2">
        <v>99999999</v>
      </c>
      <c r="S52" s="9" t="s">
        <v>475</v>
      </c>
      <c r="U52" s="3" t="s">
        <v>73</v>
      </c>
      <c r="V52" s="9" t="s">
        <v>476</v>
      </c>
      <c r="W52" s="3" t="s">
        <v>119</v>
      </c>
      <c r="Y52" s="32"/>
      <c r="Z52" s="32"/>
      <c r="AA52" s="4" t="s">
        <v>43</v>
      </c>
      <c r="AB52" s="3"/>
      <c r="AC52" s="4" t="s">
        <v>44</v>
      </c>
      <c r="AD52" s="1">
        <v>45820</v>
      </c>
      <c r="AE52" s="24" t="s">
        <v>82</v>
      </c>
      <c r="AG52" s="2" t="s">
        <v>46</v>
      </c>
    </row>
    <row r="53" spans="1:34" ht="83.25" customHeight="1">
      <c r="A53" s="22">
        <v>47</v>
      </c>
      <c r="B53" s="22"/>
      <c r="C53" s="60">
        <v>45820.928043981497</v>
      </c>
      <c r="D53" s="17">
        <v>45820.928946759297</v>
      </c>
      <c r="E53" s="14">
        <v>45821</v>
      </c>
      <c r="F53" s="32" t="s">
        <v>468</v>
      </c>
      <c r="G53" s="3" t="s">
        <v>469</v>
      </c>
      <c r="H53" s="3" t="s">
        <v>477</v>
      </c>
      <c r="I53" s="3" t="s">
        <v>478</v>
      </c>
      <c r="J53" s="9" t="s">
        <v>479</v>
      </c>
      <c r="K53" s="21" t="s">
        <v>246</v>
      </c>
      <c r="L53" s="64" t="s">
        <v>66</v>
      </c>
      <c r="M53" s="38" t="s">
        <v>480</v>
      </c>
      <c r="O53" s="2">
        <v>1900</v>
      </c>
      <c r="P53" s="9" t="s">
        <v>474</v>
      </c>
      <c r="Q53" s="2">
        <v>99999</v>
      </c>
      <c r="R53" s="2">
        <v>99999999</v>
      </c>
      <c r="S53" s="9" t="s">
        <v>478</v>
      </c>
      <c r="U53" s="3" t="s">
        <v>242</v>
      </c>
      <c r="V53" s="9" t="s">
        <v>481</v>
      </c>
      <c r="W53" s="3" t="s">
        <v>119</v>
      </c>
      <c r="Y53" s="32"/>
      <c r="Z53" s="32"/>
      <c r="AA53" s="4" t="s">
        <v>43</v>
      </c>
      <c r="AB53" s="3"/>
      <c r="AC53" s="4" t="s">
        <v>44</v>
      </c>
      <c r="AD53" s="58">
        <v>45861</v>
      </c>
      <c r="AE53" s="24" t="s">
        <v>82</v>
      </c>
      <c r="AG53" s="2" t="s">
        <v>71</v>
      </c>
    </row>
    <row r="54" spans="1:34" ht="83.25" customHeight="1">
      <c r="A54" s="18">
        <v>48</v>
      </c>
      <c r="B54" s="18"/>
      <c r="C54" s="62">
        <v>45821.050914351901</v>
      </c>
      <c r="D54" s="23">
        <v>45821.053993055597</v>
      </c>
      <c r="E54" s="14">
        <v>45821</v>
      </c>
      <c r="F54" s="25" t="s">
        <v>241</v>
      </c>
      <c r="G54" s="7" t="s">
        <v>242</v>
      </c>
      <c r="H54" s="7" t="s">
        <v>482</v>
      </c>
      <c r="I54" s="7" t="s">
        <v>483</v>
      </c>
      <c r="J54" s="8" t="s">
        <v>483</v>
      </c>
      <c r="K54" s="21" t="s">
        <v>484</v>
      </c>
      <c r="L54" s="7" t="s">
        <v>38</v>
      </c>
      <c r="M54" s="26" t="s">
        <v>485</v>
      </c>
      <c r="N54" s="19"/>
      <c r="O54" s="19">
        <v>2400</v>
      </c>
      <c r="P54" s="8" t="s">
        <v>268</v>
      </c>
      <c r="Q54" s="19">
        <v>0.4</v>
      </c>
      <c r="R54" s="19">
        <v>500</v>
      </c>
      <c r="S54" s="8" t="s">
        <v>486</v>
      </c>
      <c r="T54" s="19"/>
      <c r="U54" s="7" t="s">
        <v>487</v>
      </c>
      <c r="V54" s="8" t="s">
        <v>488</v>
      </c>
      <c r="W54" s="7" t="s">
        <v>119</v>
      </c>
      <c r="X54" s="23"/>
      <c r="Y54" s="25"/>
      <c r="Z54" s="25"/>
      <c r="AA54" s="4" t="s">
        <v>489</v>
      </c>
      <c r="AB54" s="25" t="s">
        <v>129</v>
      </c>
      <c r="AC54" s="4" t="s">
        <v>44</v>
      </c>
      <c r="AD54" s="20">
        <v>45827</v>
      </c>
      <c r="AE54" s="16" t="s">
        <v>490</v>
      </c>
      <c r="AF54" s="2" t="s">
        <v>491</v>
      </c>
      <c r="AG54" s="2" t="s">
        <v>71</v>
      </c>
    </row>
    <row r="55" spans="1:34" ht="83.25" customHeight="1">
      <c r="A55" s="18">
        <v>49</v>
      </c>
      <c r="B55" s="18"/>
      <c r="C55" s="62">
        <v>45821.464930555601</v>
      </c>
      <c r="D55" s="23">
        <v>45821.466990740701</v>
      </c>
      <c r="E55" s="14">
        <v>45821</v>
      </c>
      <c r="F55" s="25" t="s">
        <v>492</v>
      </c>
      <c r="G55" s="7" t="s">
        <v>493</v>
      </c>
      <c r="H55" s="7" t="s">
        <v>494</v>
      </c>
      <c r="I55" s="7" t="s">
        <v>495</v>
      </c>
      <c r="J55" s="8" t="s">
        <v>496</v>
      </c>
      <c r="K55" s="21" t="s">
        <v>497</v>
      </c>
      <c r="L55" s="7" t="s">
        <v>38</v>
      </c>
      <c r="M55" s="26" t="s">
        <v>498</v>
      </c>
      <c r="N55" s="19"/>
      <c r="O55" s="19">
        <v>1000</v>
      </c>
      <c r="P55" s="8" t="s">
        <v>499</v>
      </c>
      <c r="Q55" s="19">
        <v>0</v>
      </c>
      <c r="R55" s="19">
        <v>0</v>
      </c>
      <c r="S55" s="8" t="s">
        <v>500</v>
      </c>
      <c r="T55" s="19"/>
      <c r="U55" s="7" t="s">
        <v>501</v>
      </c>
      <c r="V55" s="8" t="s">
        <v>502</v>
      </c>
      <c r="W55" s="7" t="s">
        <v>42</v>
      </c>
      <c r="X55" s="23"/>
      <c r="Y55" s="25"/>
      <c r="Z55" s="25"/>
      <c r="AA55" s="4" t="s">
        <v>43</v>
      </c>
      <c r="AB55" s="7"/>
      <c r="AC55" s="4" t="s">
        <v>53</v>
      </c>
      <c r="AD55" s="20" t="s">
        <v>503</v>
      </c>
      <c r="AE55" s="16" t="s">
        <v>82</v>
      </c>
      <c r="AG55" s="2" t="s">
        <v>46</v>
      </c>
    </row>
    <row r="56" spans="1:34" ht="83.25" customHeight="1">
      <c r="A56" s="18">
        <v>50</v>
      </c>
      <c r="B56" s="18"/>
      <c r="C56" s="62">
        <v>45821.992916666699</v>
      </c>
      <c r="D56" s="23">
        <v>45821.996284722198</v>
      </c>
      <c r="E56" s="14">
        <v>45824</v>
      </c>
      <c r="F56" s="25" t="s">
        <v>241</v>
      </c>
      <c r="G56" s="7" t="s">
        <v>242</v>
      </c>
      <c r="H56" s="7" t="s">
        <v>504</v>
      </c>
      <c r="I56" s="7" t="s">
        <v>505</v>
      </c>
      <c r="J56" s="8" t="s">
        <v>506</v>
      </c>
      <c r="K56" s="21" t="s">
        <v>246</v>
      </c>
      <c r="L56" s="64" t="s">
        <v>66</v>
      </c>
      <c r="M56" s="26" t="s">
        <v>507</v>
      </c>
      <c r="N56" s="19"/>
      <c r="O56" s="19">
        <v>1800</v>
      </c>
      <c r="P56" s="8" t="s">
        <v>385</v>
      </c>
      <c r="Q56" s="19">
        <v>2.82</v>
      </c>
      <c r="R56" s="19">
        <v>0</v>
      </c>
      <c r="S56" s="8" t="s">
        <v>508</v>
      </c>
      <c r="T56" s="19"/>
      <c r="U56" s="7" t="s">
        <v>487</v>
      </c>
      <c r="V56" s="8" t="s">
        <v>509</v>
      </c>
      <c r="W56" s="7" t="s">
        <v>119</v>
      </c>
      <c r="X56" s="23"/>
      <c r="Y56" s="25"/>
      <c r="Z56" s="25"/>
      <c r="AA56" s="4" t="s">
        <v>43</v>
      </c>
      <c r="AB56" s="7"/>
      <c r="AC56" s="4" t="s">
        <v>44</v>
      </c>
      <c r="AD56" s="59">
        <v>45861</v>
      </c>
      <c r="AE56" s="16" t="s">
        <v>45</v>
      </c>
      <c r="AG56" s="2" t="s">
        <v>46</v>
      </c>
    </row>
    <row r="57" spans="1:34" ht="83.25" customHeight="1">
      <c r="A57" s="18">
        <v>51</v>
      </c>
      <c r="B57" s="18"/>
      <c r="C57" s="62">
        <v>45825.734849537002</v>
      </c>
      <c r="D57" s="23">
        <v>45825.734907407401</v>
      </c>
      <c r="E57" s="14">
        <v>45825</v>
      </c>
      <c r="F57" s="25" t="s">
        <v>241</v>
      </c>
      <c r="G57" s="7" t="s">
        <v>242</v>
      </c>
      <c r="H57" s="7" t="s">
        <v>477</v>
      </c>
      <c r="I57" s="7" t="s">
        <v>510</v>
      </c>
      <c r="J57" s="8" t="s">
        <v>511</v>
      </c>
      <c r="K57" s="21" t="s">
        <v>246</v>
      </c>
      <c r="L57" s="64" t="s">
        <v>66</v>
      </c>
      <c r="M57" s="26" t="s">
        <v>512</v>
      </c>
      <c r="N57" s="19"/>
      <c r="O57" s="19">
        <v>1800</v>
      </c>
      <c r="P57" s="8" t="s">
        <v>466</v>
      </c>
      <c r="Q57" s="19">
        <v>2.8</v>
      </c>
      <c r="R57" s="19">
        <v>0</v>
      </c>
      <c r="S57" s="8" t="s">
        <v>467</v>
      </c>
      <c r="T57" s="19"/>
      <c r="U57" s="7" t="s">
        <v>487</v>
      </c>
      <c r="V57" s="8" t="s">
        <v>151</v>
      </c>
      <c r="W57" s="7" t="s">
        <v>119</v>
      </c>
      <c r="X57" s="23"/>
      <c r="Y57" s="25"/>
      <c r="Z57" s="25"/>
      <c r="AA57" s="4" t="s">
        <v>43</v>
      </c>
      <c r="AB57" s="7"/>
      <c r="AC57" s="4" t="s">
        <v>44</v>
      </c>
      <c r="AD57" s="59">
        <v>45861</v>
      </c>
      <c r="AE57" s="16" t="s">
        <v>82</v>
      </c>
      <c r="AG57" s="2" t="s">
        <v>71</v>
      </c>
    </row>
    <row r="58" spans="1:34" ht="83.25" customHeight="1">
      <c r="A58" s="18">
        <v>52</v>
      </c>
      <c r="B58" s="18"/>
      <c r="C58" s="62">
        <v>45826.462569444397</v>
      </c>
      <c r="D58" s="23">
        <v>45826.464780092603</v>
      </c>
      <c r="E58" s="14">
        <v>45820</v>
      </c>
      <c r="F58" s="25" t="s">
        <v>155</v>
      </c>
      <c r="G58" s="7" t="s">
        <v>121</v>
      </c>
      <c r="H58" s="7" t="s">
        <v>449</v>
      </c>
      <c r="I58" s="7" t="s">
        <v>513</v>
      </c>
      <c r="J58" s="8" t="s">
        <v>514</v>
      </c>
      <c r="K58" s="21" t="s">
        <v>362</v>
      </c>
      <c r="L58" s="7" t="s">
        <v>60</v>
      </c>
      <c r="M58" s="26" t="s">
        <v>515</v>
      </c>
      <c r="N58" s="19"/>
      <c r="O58" s="19">
        <v>24000</v>
      </c>
      <c r="P58" s="8" t="s">
        <v>171</v>
      </c>
      <c r="Q58" s="19">
        <v>0</v>
      </c>
      <c r="R58" s="19">
        <v>40000000</v>
      </c>
      <c r="S58" s="8" t="s">
        <v>460</v>
      </c>
      <c r="T58" s="19"/>
      <c r="U58" s="7" t="s">
        <v>172</v>
      </c>
      <c r="V58" s="8" t="s">
        <v>516</v>
      </c>
      <c r="W58" s="7" t="s">
        <v>119</v>
      </c>
      <c r="X58" s="23"/>
      <c r="Y58" s="25"/>
      <c r="Z58" s="25"/>
      <c r="AA58" s="4" t="s">
        <v>43</v>
      </c>
      <c r="AB58" s="7"/>
      <c r="AC58" s="4" t="s">
        <v>130</v>
      </c>
      <c r="AD58" s="20">
        <v>45856</v>
      </c>
      <c r="AE58" s="16" t="s">
        <v>106</v>
      </c>
      <c r="AG58" s="2" t="s">
        <v>132</v>
      </c>
    </row>
    <row r="59" spans="1:34" ht="83.25" customHeight="1">
      <c r="A59" s="18">
        <v>53</v>
      </c>
      <c r="B59" s="18"/>
      <c r="C59" s="62">
        <v>45828.528749999998</v>
      </c>
      <c r="D59" s="23">
        <v>45828.552002314798</v>
      </c>
      <c r="E59" s="14">
        <v>45828</v>
      </c>
      <c r="F59" s="25" t="s">
        <v>215</v>
      </c>
      <c r="G59" s="7" t="s">
        <v>216</v>
      </c>
      <c r="H59" s="7" t="s">
        <v>517</v>
      </c>
      <c r="I59" s="7" t="s">
        <v>518</v>
      </c>
      <c r="J59" s="8" t="s">
        <v>519</v>
      </c>
      <c r="K59" s="21" t="s">
        <v>520</v>
      </c>
      <c r="L59" s="7" t="s">
        <v>38</v>
      </c>
      <c r="M59" s="26" t="s">
        <v>521</v>
      </c>
      <c r="N59" s="19"/>
      <c r="O59" s="19">
        <v>500</v>
      </c>
      <c r="P59" s="8" t="s">
        <v>522</v>
      </c>
      <c r="Q59" s="19">
        <v>144000</v>
      </c>
      <c r="R59" s="19">
        <v>200000</v>
      </c>
      <c r="S59" s="8" t="s">
        <v>96</v>
      </c>
      <c r="T59" s="19"/>
      <c r="U59" s="7" t="s">
        <v>216</v>
      </c>
      <c r="V59" s="8" t="s">
        <v>523</v>
      </c>
      <c r="W59" s="7" t="s">
        <v>152</v>
      </c>
      <c r="X59" s="23">
        <v>45835</v>
      </c>
      <c r="Y59" s="25"/>
      <c r="Z59" s="25"/>
      <c r="AA59" s="53" t="s">
        <v>43</v>
      </c>
      <c r="AB59" s="7"/>
      <c r="AC59" s="53" t="s">
        <v>44</v>
      </c>
      <c r="AD59" s="20">
        <v>45847</v>
      </c>
      <c r="AE59" s="16" t="s">
        <v>259</v>
      </c>
      <c r="AF59" s="19"/>
      <c r="AG59" s="2" t="s">
        <v>71</v>
      </c>
    </row>
    <row r="60" spans="1:34" ht="83.25" customHeight="1">
      <c r="A60" s="18">
        <v>54</v>
      </c>
      <c r="B60" s="18"/>
      <c r="C60" s="62">
        <v>45831.425636574102</v>
      </c>
      <c r="D60" s="23">
        <v>45831.435983796298</v>
      </c>
      <c r="E60" s="14">
        <v>45831</v>
      </c>
      <c r="F60" s="25" t="s">
        <v>350</v>
      </c>
      <c r="G60" s="7" t="s">
        <v>55</v>
      </c>
      <c r="H60" s="7" t="s">
        <v>524</v>
      </c>
      <c r="I60" s="7" t="s">
        <v>525</v>
      </c>
      <c r="J60" s="8" t="s">
        <v>526</v>
      </c>
      <c r="K60" s="21" t="s">
        <v>527</v>
      </c>
      <c r="L60" s="7" t="s">
        <v>38</v>
      </c>
      <c r="M60" s="26" t="s">
        <v>528</v>
      </c>
      <c r="N60" s="19"/>
      <c r="O60" s="19">
        <v>1000</v>
      </c>
      <c r="P60" s="8" t="s">
        <v>40</v>
      </c>
      <c r="Q60" s="19">
        <v>271000</v>
      </c>
      <c r="R60" s="19">
        <v>100000</v>
      </c>
      <c r="S60" s="8" t="s">
        <v>529</v>
      </c>
      <c r="T60" s="19"/>
      <c r="U60" s="7" t="s">
        <v>55</v>
      </c>
      <c r="V60" s="8" t="s">
        <v>151</v>
      </c>
      <c r="W60" s="7" t="s">
        <v>152</v>
      </c>
      <c r="X60" s="23">
        <v>45811</v>
      </c>
      <c r="Y60" s="25"/>
      <c r="Z60" s="25"/>
      <c r="AA60" s="53" t="s">
        <v>356</v>
      </c>
      <c r="AB60" s="64"/>
      <c r="AC60" s="53" t="s">
        <v>44</v>
      </c>
      <c r="AD60" s="20">
        <v>45835</v>
      </c>
      <c r="AE60" s="16" t="s">
        <v>54</v>
      </c>
      <c r="AF60" s="19"/>
      <c r="AG60" s="2" t="s">
        <v>71</v>
      </c>
    </row>
    <row r="61" spans="1:34" ht="83.25" customHeight="1">
      <c r="A61" s="18">
        <v>55</v>
      </c>
      <c r="B61" s="18"/>
      <c r="C61" s="62">
        <v>45833.449710648099</v>
      </c>
      <c r="D61" s="23">
        <v>45833.4523611111</v>
      </c>
      <c r="E61" s="14">
        <v>45833</v>
      </c>
      <c r="F61" s="25" t="s">
        <v>305</v>
      </c>
      <c r="G61" s="7" t="s">
        <v>306</v>
      </c>
      <c r="H61" s="7" t="s">
        <v>530</v>
      </c>
      <c r="I61" s="7" t="s">
        <v>531</v>
      </c>
      <c r="J61" s="8" t="s">
        <v>532</v>
      </c>
      <c r="K61" s="21" t="s">
        <v>332</v>
      </c>
      <c r="L61" s="7" t="s">
        <v>38</v>
      </c>
      <c r="M61" s="26" t="s">
        <v>476</v>
      </c>
      <c r="N61" s="19"/>
      <c r="O61" s="19">
        <v>2000</v>
      </c>
      <c r="P61" s="8" t="s">
        <v>533</v>
      </c>
      <c r="Q61" s="19">
        <v>500000</v>
      </c>
      <c r="R61" s="19">
        <v>6000000</v>
      </c>
      <c r="S61" s="8" t="s">
        <v>534</v>
      </c>
      <c r="T61" s="19"/>
      <c r="U61" s="7" t="s">
        <v>306</v>
      </c>
      <c r="V61" s="8" t="s">
        <v>535</v>
      </c>
      <c r="W61" s="7" t="s">
        <v>42</v>
      </c>
      <c r="X61" s="23"/>
      <c r="Y61" s="25"/>
      <c r="Z61" s="25"/>
      <c r="AA61" s="53" t="s">
        <v>43</v>
      </c>
      <c r="AB61" s="7"/>
      <c r="AC61" s="53" t="s">
        <v>53</v>
      </c>
      <c r="AD61" s="20">
        <v>45833</v>
      </c>
      <c r="AE61" s="16" t="s">
        <v>45</v>
      </c>
      <c r="AF61" s="19"/>
      <c r="AG61" s="2" t="s">
        <v>46</v>
      </c>
    </row>
    <row r="62" spans="1:34" ht="83.25" customHeight="1">
      <c r="A62" s="18">
        <v>56</v>
      </c>
      <c r="B62" s="18"/>
      <c r="C62" s="62">
        <v>45833.495706018497</v>
      </c>
      <c r="D62" s="23">
        <v>45833.496747685203</v>
      </c>
      <c r="E62" s="69">
        <v>45833</v>
      </c>
      <c r="F62" s="25" t="s">
        <v>175</v>
      </c>
      <c r="G62" s="7" t="s">
        <v>176</v>
      </c>
      <c r="H62" s="7"/>
      <c r="I62" s="7" t="s">
        <v>536</v>
      </c>
      <c r="J62" s="8" t="s">
        <v>537</v>
      </c>
      <c r="K62" s="21" t="s">
        <v>205</v>
      </c>
      <c r="L62" s="7" t="s">
        <v>38</v>
      </c>
      <c r="M62" s="54" t="s">
        <v>538</v>
      </c>
      <c r="N62" s="19"/>
      <c r="O62" s="19">
        <v>28000</v>
      </c>
      <c r="P62" s="8" t="s">
        <v>379</v>
      </c>
      <c r="Q62" s="19">
        <v>40</v>
      </c>
      <c r="R62" s="19">
        <v>30</v>
      </c>
      <c r="S62" s="8" t="s">
        <v>539</v>
      </c>
      <c r="T62" s="19"/>
      <c r="U62" s="7" t="s">
        <v>176</v>
      </c>
      <c r="V62" s="8" t="s">
        <v>540</v>
      </c>
      <c r="W62" s="7" t="s">
        <v>152</v>
      </c>
      <c r="X62" s="23">
        <v>45843</v>
      </c>
      <c r="Y62" s="25"/>
      <c r="Z62" s="25"/>
      <c r="AA62" s="53" t="s">
        <v>43</v>
      </c>
      <c r="AB62" s="7"/>
      <c r="AC62" s="53" t="s">
        <v>130</v>
      </c>
      <c r="AD62" s="20">
        <v>45833</v>
      </c>
      <c r="AE62" s="16" t="s">
        <v>82</v>
      </c>
      <c r="AF62" s="19"/>
      <c r="AG62" s="57" t="s">
        <v>46</v>
      </c>
    </row>
    <row r="63" spans="1:34" ht="83.25" customHeight="1">
      <c r="A63" s="18">
        <v>57</v>
      </c>
      <c r="B63" s="18"/>
      <c r="C63" s="62">
        <v>45833.763969907399</v>
      </c>
      <c r="D63" s="23">
        <v>45833.7706944444</v>
      </c>
      <c r="E63" s="14">
        <v>45833</v>
      </c>
      <c r="F63" s="25" t="s">
        <v>541</v>
      </c>
      <c r="G63" s="7" t="s">
        <v>542</v>
      </c>
      <c r="H63" s="7" t="s">
        <v>543</v>
      </c>
      <c r="I63" s="7" t="s">
        <v>544</v>
      </c>
      <c r="J63" s="8" t="s">
        <v>545</v>
      </c>
      <c r="K63" s="21" t="s">
        <v>546</v>
      </c>
      <c r="L63" s="7" t="s">
        <v>38</v>
      </c>
      <c r="M63" s="54" t="s">
        <v>547</v>
      </c>
      <c r="N63" s="19"/>
      <c r="O63" s="19">
        <v>11000</v>
      </c>
      <c r="P63" s="8" t="s">
        <v>548</v>
      </c>
      <c r="Q63" s="19">
        <v>5000</v>
      </c>
      <c r="R63" s="19">
        <v>6000</v>
      </c>
      <c r="S63" s="8" t="s">
        <v>549</v>
      </c>
      <c r="T63" s="19"/>
      <c r="U63" s="7" t="s">
        <v>550</v>
      </c>
      <c r="V63" s="8" t="s">
        <v>551</v>
      </c>
      <c r="W63" s="7" t="s">
        <v>152</v>
      </c>
      <c r="X63" s="23">
        <v>45870</v>
      </c>
      <c r="Y63" s="25" t="s">
        <v>129</v>
      </c>
      <c r="Z63" s="25"/>
      <c r="AA63" s="53" t="s">
        <v>43</v>
      </c>
      <c r="AB63" s="7"/>
      <c r="AC63" s="53" t="s">
        <v>44</v>
      </c>
      <c r="AD63" s="20">
        <v>45840</v>
      </c>
      <c r="AE63" s="16" t="s">
        <v>45</v>
      </c>
      <c r="AF63" s="19"/>
      <c r="AG63" s="70" t="s">
        <v>46</v>
      </c>
      <c r="AH63" s="57" t="s">
        <v>552</v>
      </c>
    </row>
    <row r="64" spans="1:34" ht="83.25" customHeight="1">
      <c r="A64" s="18">
        <v>58</v>
      </c>
      <c r="B64" s="18"/>
      <c r="C64" s="62">
        <v>45834.4850462963</v>
      </c>
      <c r="D64" s="23">
        <v>45834.4920486111</v>
      </c>
      <c r="E64" s="14">
        <v>45834</v>
      </c>
      <c r="F64" s="25" t="s">
        <v>215</v>
      </c>
      <c r="G64" s="7" t="s">
        <v>216</v>
      </c>
      <c r="H64" s="7" t="s">
        <v>553</v>
      </c>
      <c r="I64" s="7" t="s">
        <v>554</v>
      </c>
      <c r="J64" s="8" t="s">
        <v>555</v>
      </c>
      <c r="K64" s="21" t="s">
        <v>556</v>
      </c>
      <c r="L64" s="7" t="s">
        <v>38</v>
      </c>
      <c r="M64" s="54" t="s">
        <v>557</v>
      </c>
      <c r="N64" s="19"/>
      <c r="O64" s="19">
        <v>3000</v>
      </c>
      <c r="P64" s="8" t="s">
        <v>40</v>
      </c>
      <c r="Q64" s="19">
        <v>420000</v>
      </c>
      <c r="R64" s="19">
        <v>6705000</v>
      </c>
      <c r="S64" s="8" t="s">
        <v>96</v>
      </c>
      <c r="T64" s="19"/>
      <c r="U64" s="7" t="s">
        <v>216</v>
      </c>
      <c r="V64" s="8" t="s">
        <v>558</v>
      </c>
      <c r="W64" s="7" t="s">
        <v>152</v>
      </c>
      <c r="X64" s="23">
        <v>45853</v>
      </c>
      <c r="Y64" s="25" t="s">
        <v>129</v>
      </c>
      <c r="Z64" s="25"/>
      <c r="AA64" s="53" t="s">
        <v>43</v>
      </c>
      <c r="AB64" s="7"/>
      <c r="AC64" s="53" t="s">
        <v>44</v>
      </c>
      <c r="AD64" s="20">
        <v>45862</v>
      </c>
      <c r="AE64" s="16" t="s">
        <v>45</v>
      </c>
      <c r="AF64" s="19"/>
      <c r="AG64" s="19" t="s">
        <v>71</v>
      </c>
    </row>
    <row r="65" spans="1:33" ht="83.25" customHeight="1">
      <c r="A65" s="18">
        <v>59</v>
      </c>
      <c r="B65" s="18"/>
      <c r="C65" s="62">
        <v>45838.609675925902</v>
      </c>
      <c r="D65" s="23">
        <v>45838.609768518501</v>
      </c>
      <c r="E65" s="14">
        <v>45839</v>
      </c>
      <c r="F65" s="7" t="s">
        <v>559</v>
      </c>
      <c r="G65" s="7" t="s">
        <v>560</v>
      </c>
      <c r="H65" s="7" t="s">
        <v>561</v>
      </c>
      <c r="I65" s="7" t="s">
        <v>562</v>
      </c>
      <c r="J65" s="7" t="s">
        <v>563</v>
      </c>
      <c r="K65" s="21" t="s">
        <v>564</v>
      </c>
      <c r="L65" s="7" t="s">
        <v>38</v>
      </c>
      <c r="M65" s="7"/>
      <c r="N65" s="19"/>
      <c r="O65" s="19">
        <v>1050</v>
      </c>
      <c r="P65" s="7" t="s">
        <v>565</v>
      </c>
      <c r="Q65" s="19">
        <v>27000</v>
      </c>
      <c r="R65" s="19">
        <v>200000</v>
      </c>
      <c r="S65" s="7" t="s">
        <v>566</v>
      </c>
      <c r="T65" s="19"/>
      <c r="U65" s="7" t="s">
        <v>560</v>
      </c>
      <c r="V65" s="7" t="s">
        <v>567</v>
      </c>
      <c r="W65" s="7" t="s">
        <v>119</v>
      </c>
      <c r="X65" s="23"/>
      <c r="Y65" s="7"/>
      <c r="Z65" s="7"/>
      <c r="AA65" s="53" t="s">
        <v>356</v>
      </c>
      <c r="AB65" s="64"/>
      <c r="AC65" s="53" t="s">
        <v>416</v>
      </c>
      <c r="AD65" s="20"/>
      <c r="AE65" s="16" t="s">
        <v>82</v>
      </c>
      <c r="AF65" s="19"/>
      <c r="AG65" s="19" t="s">
        <v>71</v>
      </c>
    </row>
    <row r="66" spans="1:33" ht="83.25" customHeight="1">
      <c r="A66" s="18">
        <v>60</v>
      </c>
      <c r="B66" s="18"/>
      <c r="C66" s="62">
        <v>45838.942361111098</v>
      </c>
      <c r="D66" s="23">
        <v>45838.9448611111</v>
      </c>
      <c r="E66" s="14">
        <v>45839</v>
      </c>
      <c r="F66" s="7" t="s">
        <v>241</v>
      </c>
      <c r="G66" s="7" t="s">
        <v>242</v>
      </c>
      <c r="H66" s="7" t="s">
        <v>568</v>
      </c>
      <c r="I66" s="7" t="s">
        <v>569</v>
      </c>
      <c r="J66" s="7" t="s">
        <v>570</v>
      </c>
      <c r="K66" s="21" t="s">
        <v>246</v>
      </c>
      <c r="L66" s="7" t="s">
        <v>38</v>
      </c>
      <c r="M66" s="7" t="s">
        <v>571</v>
      </c>
      <c r="N66" s="19"/>
      <c r="O66" s="19">
        <v>2000</v>
      </c>
      <c r="P66" s="7" t="s">
        <v>466</v>
      </c>
      <c r="Q66" s="19">
        <v>2.8</v>
      </c>
      <c r="R66" s="19">
        <v>0</v>
      </c>
      <c r="S66" s="7" t="s">
        <v>467</v>
      </c>
      <c r="T66" s="19"/>
      <c r="U66" s="7" t="s">
        <v>242</v>
      </c>
      <c r="V66" s="7" t="s">
        <v>151</v>
      </c>
      <c r="W66" s="7" t="s">
        <v>119</v>
      </c>
      <c r="X66" s="23"/>
      <c r="Y66" s="7"/>
      <c r="Z66" s="7"/>
      <c r="AA66" s="53" t="s">
        <v>356</v>
      </c>
      <c r="AB66" s="25" t="s">
        <v>129</v>
      </c>
      <c r="AC66" s="53" t="s">
        <v>44</v>
      </c>
      <c r="AD66" s="20">
        <v>45867</v>
      </c>
      <c r="AE66" s="16" t="s">
        <v>174</v>
      </c>
      <c r="AF66" s="19"/>
      <c r="AG66" s="19" t="s">
        <v>132</v>
      </c>
    </row>
    <row r="67" spans="1:33" ht="83.25" customHeight="1">
      <c r="A67" s="18">
        <v>61</v>
      </c>
      <c r="B67" s="18"/>
      <c r="C67" s="62">
        <v>45840.80400462963</v>
      </c>
      <c r="D67" s="23">
        <v>45840.807395833333</v>
      </c>
      <c r="E67" s="82">
        <v>45845</v>
      </c>
      <c r="F67" s="7" t="s">
        <v>241</v>
      </c>
      <c r="G67" s="7" t="s">
        <v>242</v>
      </c>
      <c r="H67" s="7" t="s">
        <v>572</v>
      </c>
      <c r="I67" s="7" t="s">
        <v>573</v>
      </c>
      <c r="J67" s="7" t="s">
        <v>574</v>
      </c>
      <c r="K67" s="21" t="s">
        <v>575</v>
      </c>
      <c r="L67" s="7" t="s">
        <v>38</v>
      </c>
      <c r="M67" s="7" t="s">
        <v>576</v>
      </c>
      <c r="N67" s="19"/>
      <c r="O67" s="19">
        <v>2000</v>
      </c>
      <c r="P67" s="7" t="s">
        <v>268</v>
      </c>
      <c r="Q67" s="19">
        <v>1.2</v>
      </c>
      <c r="R67" s="19">
        <v>70000</v>
      </c>
      <c r="S67" s="7" t="s">
        <v>372</v>
      </c>
      <c r="T67" s="19"/>
      <c r="U67" s="7" t="s">
        <v>487</v>
      </c>
      <c r="V67" s="7" t="s">
        <v>151</v>
      </c>
      <c r="W67" s="7" t="s">
        <v>119</v>
      </c>
      <c r="X67" s="23"/>
      <c r="Y67" s="7"/>
      <c r="Z67" s="7"/>
      <c r="AA67" s="53" t="s">
        <v>356</v>
      </c>
      <c r="AB67" s="25" t="s">
        <v>129</v>
      </c>
      <c r="AC67" s="53" t="s">
        <v>44</v>
      </c>
      <c r="AD67" s="20">
        <v>45869</v>
      </c>
      <c r="AE67" s="16" t="s">
        <v>259</v>
      </c>
      <c r="AF67" s="84" t="s">
        <v>577</v>
      </c>
      <c r="AG67" s="19" t="s">
        <v>71</v>
      </c>
    </row>
    <row r="68" spans="1:33" ht="83.25" customHeight="1">
      <c r="A68" s="18">
        <v>62</v>
      </c>
      <c r="B68" s="18"/>
      <c r="C68" s="62">
        <v>45841.7192476852</v>
      </c>
      <c r="D68" s="23">
        <v>45841.720358796301</v>
      </c>
      <c r="E68" s="23">
        <v>45842</v>
      </c>
      <c r="F68" s="7" t="s">
        <v>175</v>
      </c>
      <c r="G68" s="7" t="s">
        <v>176</v>
      </c>
      <c r="H68" s="7" t="s">
        <v>578</v>
      </c>
      <c r="I68" s="7" t="s">
        <v>579</v>
      </c>
      <c r="J68" s="7" t="s">
        <v>579</v>
      </c>
      <c r="K68" s="21" t="s">
        <v>137</v>
      </c>
      <c r="L68" s="7" t="s">
        <v>206</v>
      </c>
      <c r="M68" s="7" t="s">
        <v>580</v>
      </c>
      <c r="N68" s="19"/>
      <c r="O68" s="19">
        <v>240000</v>
      </c>
      <c r="P68" s="7" t="s">
        <v>40</v>
      </c>
      <c r="Q68" s="19">
        <v>60000000</v>
      </c>
      <c r="R68" s="19">
        <v>60000000</v>
      </c>
      <c r="S68" s="7" t="s">
        <v>581</v>
      </c>
      <c r="T68" s="19"/>
      <c r="U68" s="7" t="s">
        <v>210</v>
      </c>
      <c r="V68" s="7" t="s">
        <v>582</v>
      </c>
      <c r="W68" s="7" t="s">
        <v>119</v>
      </c>
      <c r="X68" s="23"/>
      <c r="Y68" s="7"/>
      <c r="Z68" s="7"/>
      <c r="AA68" s="53" t="s">
        <v>43</v>
      </c>
      <c r="AB68" s="7"/>
      <c r="AC68" s="53" t="s">
        <v>130</v>
      </c>
      <c r="AD68" s="20">
        <v>45849</v>
      </c>
      <c r="AE68" s="16" t="s">
        <v>82</v>
      </c>
      <c r="AF68" s="19" t="s">
        <v>583</v>
      </c>
      <c r="AG68" s="19" t="s">
        <v>71</v>
      </c>
    </row>
    <row r="69" spans="1:33" ht="83.25" customHeight="1">
      <c r="A69" s="18">
        <v>63</v>
      </c>
      <c r="B69" s="18"/>
      <c r="C69" s="62">
        <v>45845.446805555599</v>
      </c>
      <c r="D69" s="23">
        <v>45845.463530092602</v>
      </c>
      <c r="E69" s="23">
        <v>45846</v>
      </c>
      <c r="F69" s="7" t="s">
        <v>215</v>
      </c>
      <c r="G69" s="7" t="s">
        <v>216</v>
      </c>
      <c r="H69" s="7" t="s">
        <v>584</v>
      </c>
      <c r="I69" s="7" t="s">
        <v>585</v>
      </c>
      <c r="J69" s="7" t="s">
        <v>586</v>
      </c>
      <c r="K69" s="21" t="s">
        <v>520</v>
      </c>
      <c r="L69" s="7" t="s">
        <v>38</v>
      </c>
      <c r="M69" s="7" t="s">
        <v>587</v>
      </c>
      <c r="N69" s="19"/>
      <c r="O69" s="19">
        <v>500</v>
      </c>
      <c r="P69" s="7" t="s">
        <v>40</v>
      </c>
      <c r="Q69" s="19">
        <v>144000</v>
      </c>
      <c r="R69" s="19">
        <v>32000</v>
      </c>
      <c r="S69" s="7" t="s">
        <v>96</v>
      </c>
      <c r="T69" s="19"/>
      <c r="U69" s="7" t="s">
        <v>216</v>
      </c>
      <c r="V69" s="7" t="s">
        <v>588</v>
      </c>
      <c r="W69" s="7" t="s">
        <v>42</v>
      </c>
      <c r="X69" s="23"/>
      <c r="Y69" s="7"/>
      <c r="Z69" s="7"/>
      <c r="AA69" s="53" t="s">
        <v>43</v>
      </c>
      <c r="AB69" s="7"/>
      <c r="AC69" s="53" t="s">
        <v>44</v>
      </c>
      <c r="AD69" s="20">
        <v>45847</v>
      </c>
      <c r="AE69" s="16" t="s">
        <v>45</v>
      </c>
      <c r="AF69" s="19"/>
      <c r="AG69" s="19" t="s">
        <v>46</v>
      </c>
    </row>
    <row r="70" spans="1:33" ht="83.25" customHeight="1">
      <c r="A70" s="18">
        <v>64</v>
      </c>
      <c r="B70" s="18"/>
      <c r="C70" s="62">
        <v>45845.658437500002</v>
      </c>
      <c r="D70" s="23">
        <v>45845.463530092602</v>
      </c>
      <c r="E70" s="82">
        <v>45848</v>
      </c>
      <c r="F70" s="7" t="s">
        <v>120</v>
      </c>
      <c r="G70" s="7" t="s">
        <v>589</v>
      </c>
      <c r="H70" s="7" t="s">
        <v>590</v>
      </c>
      <c r="I70" s="7" t="s">
        <v>591</v>
      </c>
      <c r="J70" s="7" t="s">
        <v>592</v>
      </c>
      <c r="K70" s="21" t="s">
        <v>593</v>
      </c>
      <c r="L70" s="7" t="s">
        <v>206</v>
      </c>
      <c r="M70" s="7" t="s">
        <v>594</v>
      </c>
      <c r="N70" s="19"/>
      <c r="O70" s="19">
        <v>0</v>
      </c>
      <c r="P70" s="7" t="s">
        <v>96</v>
      </c>
      <c r="Q70" s="19">
        <v>0</v>
      </c>
      <c r="R70" s="19">
        <v>0</v>
      </c>
      <c r="S70" s="7" t="s">
        <v>96</v>
      </c>
      <c r="T70" s="19"/>
      <c r="U70" s="7" t="s">
        <v>96</v>
      </c>
      <c r="V70" s="7" t="s">
        <v>96</v>
      </c>
      <c r="W70" s="7" t="s">
        <v>42</v>
      </c>
      <c r="X70" s="23"/>
      <c r="Y70" s="25" t="s">
        <v>129</v>
      </c>
      <c r="Z70" s="7"/>
      <c r="AA70" s="53" t="s">
        <v>43</v>
      </c>
      <c r="AB70" s="7"/>
      <c r="AC70" s="53" t="s">
        <v>53</v>
      </c>
      <c r="AD70" s="20">
        <v>45853</v>
      </c>
      <c r="AE70" s="16" t="s">
        <v>595</v>
      </c>
      <c r="AF70" s="19"/>
      <c r="AG70" s="19" t="s">
        <v>132</v>
      </c>
    </row>
    <row r="71" spans="1:33" ht="83.25" customHeight="1">
      <c r="A71" s="18">
        <v>65</v>
      </c>
      <c r="B71" s="18"/>
      <c r="C71" s="62">
        <v>45846.809583333299</v>
      </c>
      <c r="D71" s="23">
        <v>45846.810324074097</v>
      </c>
      <c r="E71" s="82">
        <v>45848</v>
      </c>
      <c r="F71" s="7" t="s">
        <v>155</v>
      </c>
      <c r="G71" s="7" t="s">
        <v>121</v>
      </c>
      <c r="H71" s="7" t="s">
        <v>596</v>
      </c>
      <c r="I71" s="7" t="s">
        <v>597</v>
      </c>
      <c r="J71" s="7" t="s">
        <v>598</v>
      </c>
      <c r="K71" s="21" t="s">
        <v>599</v>
      </c>
      <c r="L71" s="7" t="s">
        <v>206</v>
      </c>
      <c r="M71" s="7" t="s">
        <v>600</v>
      </c>
      <c r="N71" s="55" t="s">
        <v>601</v>
      </c>
      <c r="O71" s="19">
        <v>80000</v>
      </c>
      <c r="P71" s="7" t="s">
        <v>171</v>
      </c>
      <c r="Q71" s="19">
        <v>0</v>
      </c>
      <c r="R71" s="19">
        <v>0</v>
      </c>
      <c r="S71" s="8" t="s">
        <v>117</v>
      </c>
      <c r="T71" s="19"/>
      <c r="U71" s="7"/>
      <c r="V71" s="7" t="s">
        <v>602</v>
      </c>
      <c r="W71" s="7" t="s">
        <v>119</v>
      </c>
      <c r="X71" s="23"/>
      <c r="Y71" s="25" t="s">
        <v>129</v>
      </c>
      <c r="Z71" s="7"/>
      <c r="AA71" s="53" t="s">
        <v>43</v>
      </c>
      <c r="AB71" s="7"/>
      <c r="AC71" s="53" t="s">
        <v>130</v>
      </c>
      <c r="AD71" s="20">
        <v>45854</v>
      </c>
      <c r="AE71" s="16" t="s">
        <v>595</v>
      </c>
      <c r="AF71" s="19"/>
      <c r="AG71" s="19" t="s">
        <v>132</v>
      </c>
    </row>
    <row r="72" spans="1:33" ht="83.25" customHeight="1">
      <c r="A72" s="18">
        <v>66</v>
      </c>
      <c r="B72" s="18"/>
      <c r="C72" s="62">
        <v>45852.445011574076</v>
      </c>
      <c r="D72" s="23">
        <v>45852</v>
      </c>
      <c r="E72" s="82">
        <v>45861</v>
      </c>
      <c r="F72" s="7" t="s">
        <v>120</v>
      </c>
      <c r="G72" s="7" t="s">
        <v>589</v>
      </c>
      <c r="H72" s="7" t="s">
        <v>603</v>
      </c>
      <c r="I72" s="7" t="s">
        <v>604</v>
      </c>
      <c r="J72" s="7" t="s">
        <v>605</v>
      </c>
      <c r="K72" s="21" t="s">
        <v>606</v>
      </c>
      <c r="L72" s="64" t="s">
        <v>346</v>
      </c>
      <c r="M72" s="7" t="s">
        <v>607</v>
      </c>
      <c r="N72" s="55"/>
      <c r="O72" s="19">
        <v>0</v>
      </c>
      <c r="P72" s="7" t="s">
        <v>96</v>
      </c>
      <c r="Q72" s="19">
        <v>35000000</v>
      </c>
      <c r="R72" s="19">
        <v>0</v>
      </c>
      <c r="S72" s="8" t="s">
        <v>96</v>
      </c>
      <c r="T72" s="19"/>
      <c r="U72" s="7" t="s">
        <v>96</v>
      </c>
      <c r="V72" s="7" t="s">
        <v>608</v>
      </c>
      <c r="W72" s="7" t="s">
        <v>152</v>
      </c>
      <c r="X72" s="23"/>
      <c r="Y72" s="25" t="s">
        <v>129</v>
      </c>
      <c r="Z72" s="25" t="s">
        <v>129</v>
      </c>
      <c r="AA72" s="80" t="s">
        <v>609</v>
      </c>
      <c r="AB72" s="7"/>
      <c r="AC72" s="53" t="s">
        <v>53</v>
      </c>
      <c r="AD72" s="20"/>
      <c r="AE72" s="16" t="s">
        <v>595</v>
      </c>
      <c r="AF72" s="19"/>
      <c r="AG72" s="19" t="s">
        <v>132</v>
      </c>
    </row>
    <row r="73" spans="1:33" ht="83.25" customHeight="1">
      <c r="A73" s="22">
        <v>168</v>
      </c>
      <c r="B73" s="22"/>
      <c r="C73" s="60">
        <v>45971.672569444403</v>
      </c>
      <c r="D73" s="23">
        <v>45972</v>
      </c>
      <c r="E73" s="20">
        <f>DATE(YEAR(OfficeForms.Table[[#This Row],[Completion time]]), MONTH(OfficeForms.Table[[#This Row],[Completion time]]), DAY(OfficeForms.Table[[#This Row],[Completion time]]))</f>
        <v>45972</v>
      </c>
      <c r="F73" s="32" t="s">
        <v>305</v>
      </c>
      <c r="G73" s="24" t="s">
        <v>306</v>
      </c>
      <c r="H73" s="3" t="s">
        <v>610</v>
      </c>
      <c r="I73" s="67" t="s">
        <v>611</v>
      </c>
      <c r="J73" s="3" t="s">
        <v>612</v>
      </c>
      <c r="K73" s="21" t="s">
        <v>613</v>
      </c>
      <c r="L73" s="7" t="s">
        <v>38</v>
      </c>
      <c r="M73" s="7" t="s">
        <v>614</v>
      </c>
      <c r="N73" s="55" t="s">
        <v>615</v>
      </c>
      <c r="O73" s="76" t="s">
        <v>616</v>
      </c>
      <c r="P73" s="9" t="s">
        <v>40</v>
      </c>
      <c r="Q73" s="76" t="s">
        <v>96</v>
      </c>
      <c r="R73" s="76" t="s">
        <v>617</v>
      </c>
      <c r="S73" s="9" t="s">
        <v>618</v>
      </c>
      <c r="T73" s="3" t="s">
        <v>619</v>
      </c>
      <c r="U73" s="3" t="s">
        <v>306</v>
      </c>
      <c r="V73" s="9" t="s">
        <v>620</v>
      </c>
      <c r="W73" s="3" t="s">
        <v>42</v>
      </c>
      <c r="Y73" s="32"/>
      <c r="Z73" s="3"/>
      <c r="AA73" s="53"/>
      <c r="AB73" s="32"/>
      <c r="AC73" s="53" t="s">
        <v>53</v>
      </c>
      <c r="AD73" s="1">
        <v>45972</v>
      </c>
      <c r="AE73" s="24" t="s">
        <v>621</v>
      </c>
      <c r="AF73" s="19"/>
      <c r="AG73" s="19" t="s">
        <v>71</v>
      </c>
    </row>
    <row r="74" spans="1:33" ht="83.25" customHeight="1">
      <c r="A74" s="18">
        <v>69</v>
      </c>
      <c r="B74" s="18"/>
      <c r="C74" s="62">
        <v>45852.757604166698</v>
      </c>
      <c r="D74" s="23">
        <v>45852.777835648099</v>
      </c>
      <c r="E74" s="83">
        <v>45854</v>
      </c>
      <c r="F74" s="7" t="s">
        <v>374</v>
      </c>
      <c r="G74" s="7" t="s">
        <v>133</v>
      </c>
      <c r="H74" s="39" t="s">
        <v>622</v>
      </c>
      <c r="I74" s="7" t="s">
        <v>623</v>
      </c>
      <c r="J74" s="7" t="s">
        <v>624</v>
      </c>
      <c r="K74" s="65" t="s">
        <v>625</v>
      </c>
      <c r="L74" s="73" t="s">
        <v>346</v>
      </c>
      <c r="M74" s="65" t="s">
        <v>626</v>
      </c>
      <c r="N74" s="55" t="s">
        <v>627</v>
      </c>
      <c r="O74" s="18">
        <v>30000</v>
      </c>
      <c r="P74" s="7" t="s">
        <v>40</v>
      </c>
      <c r="Q74" s="19">
        <v>100000</v>
      </c>
      <c r="R74" s="19">
        <v>4000000</v>
      </c>
      <c r="S74" s="8" t="s">
        <v>628</v>
      </c>
      <c r="T74" s="19"/>
      <c r="U74" s="7" t="s">
        <v>629</v>
      </c>
      <c r="V74" s="7" t="s">
        <v>81</v>
      </c>
      <c r="W74" s="7" t="s">
        <v>119</v>
      </c>
      <c r="X74" s="23"/>
      <c r="Y74" s="25" t="s">
        <v>129</v>
      </c>
      <c r="Z74" s="32" t="s">
        <v>129</v>
      </c>
      <c r="AA74" s="80" t="s">
        <v>609</v>
      </c>
      <c r="AB74" s="7"/>
      <c r="AC74" s="53" t="s">
        <v>130</v>
      </c>
      <c r="AD74" s="20"/>
      <c r="AE74" s="24" t="s">
        <v>595</v>
      </c>
      <c r="AF74" s="19"/>
      <c r="AG74" s="19" t="s">
        <v>132</v>
      </c>
    </row>
    <row r="75" spans="1:33" ht="83.25" customHeight="1">
      <c r="A75" s="22">
        <v>70</v>
      </c>
      <c r="B75" s="22"/>
      <c r="C75" s="60">
        <v>45853.681331018503</v>
      </c>
      <c r="D75" s="23">
        <v>45853.685092592597</v>
      </c>
      <c r="E75" s="23">
        <v>45854</v>
      </c>
      <c r="F75" s="3" t="s">
        <v>305</v>
      </c>
      <c r="G75" s="3" t="s">
        <v>306</v>
      </c>
      <c r="H75" s="3" t="s">
        <v>630</v>
      </c>
      <c r="I75" s="3" t="s">
        <v>631</v>
      </c>
      <c r="J75" s="3" t="s">
        <v>632</v>
      </c>
      <c r="K75" s="65" t="s">
        <v>633</v>
      </c>
      <c r="L75" s="3" t="s">
        <v>38</v>
      </c>
      <c r="M75" s="4" t="s">
        <v>634</v>
      </c>
      <c r="N75" s="55" t="s">
        <v>635</v>
      </c>
      <c r="O75" s="22">
        <v>10000</v>
      </c>
      <c r="P75" s="3" t="s">
        <v>40</v>
      </c>
      <c r="Q75" s="2">
        <v>1500000</v>
      </c>
      <c r="R75" s="2">
        <v>20000000</v>
      </c>
      <c r="S75" s="9" t="s">
        <v>96</v>
      </c>
      <c r="U75" s="3" t="s">
        <v>306</v>
      </c>
      <c r="V75" s="3" t="s">
        <v>636</v>
      </c>
      <c r="W75" s="3" t="s">
        <v>42</v>
      </c>
      <c r="Y75" s="32"/>
      <c r="Z75" s="3"/>
      <c r="AA75" s="53" t="s">
        <v>43</v>
      </c>
      <c r="AB75" s="3"/>
      <c r="AC75" s="53" t="s">
        <v>53</v>
      </c>
      <c r="AD75" s="1">
        <v>45856</v>
      </c>
      <c r="AE75" s="24" t="s">
        <v>45</v>
      </c>
      <c r="AF75" s="19" t="s">
        <v>637</v>
      </c>
      <c r="AG75" s="19" t="s">
        <v>46</v>
      </c>
    </row>
    <row r="76" spans="1:33" ht="83.25" customHeight="1">
      <c r="A76" s="18">
        <v>186</v>
      </c>
      <c r="B76" s="18"/>
      <c r="C76" s="62">
        <v>46013.690034722204</v>
      </c>
      <c r="D76" s="23">
        <v>46013.692430555602</v>
      </c>
      <c r="E76" s="20">
        <f>DATE(YEAR(OfficeForms.Table[[#This Row],[Completion time]]), MONTH(OfficeForms.Table[[#This Row],[Completion time]]), DAY(OfficeForms.Table[[#This Row],[Completion time]]))</f>
        <v>46013</v>
      </c>
      <c r="F76" s="25" t="s">
        <v>638</v>
      </c>
      <c r="G76" s="7" t="s">
        <v>639</v>
      </c>
      <c r="H76" s="7" t="s">
        <v>640</v>
      </c>
      <c r="I76" s="7" t="s">
        <v>641</v>
      </c>
      <c r="J76" s="7" t="s">
        <v>642</v>
      </c>
      <c r="K76" s="65" t="s">
        <v>643</v>
      </c>
      <c r="L76" s="3" t="s">
        <v>38</v>
      </c>
      <c r="M76" s="7" t="s">
        <v>644</v>
      </c>
      <c r="N76" s="55" t="s">
        <v>645</v>
      </c>
      <c r="O76" s="95" t="s">
        <v>96</v>
      </c>
      <c r="P76" s="8" t="s">
        <v>96</v>
      </c>
      <c r="Q76" s="74" t="s">
        <v>96</v>
      </c>
      <c r="R76" s="74" t="s">
        <v>96</v>
      </c>
      <c r="S76" s="8" t="s">
        <v>96</v>
      </c>
      <c r="T76" s="7" t="s">
        <v>643</v>
      </c>
      <c r="U76" s="7" t="s">
        <v>639</v>
      </c>
      <c r="V76" s="8" t="s">
        <v>646</v>
      </c>
      <c r="W76" s="7" t="s">
        <v>42</v>
      </c>
      <c r="X76" s="23"/>
      <c r="Y76" s="25"/>
      <c r="Z76" s="7"/>
      <c r="AA76" s="53"/>
      <c r="AB76" s="25"/>
      <c r="AC76" s="53"/>
      <c r="AD76" s="20">
        <v>46015</v>
      </c>
      <c r="AE76" s="24" t="s">
        <v>621</v>
      </c>
      <c r="AF76" s="19"/>
      <c r="AG76" s="19" t="s">
        <v>646</v>
      </c>
    </row>
    <row r="77" spans="1:33" ht="83.25" customHeight="1">
      <c r="A77" s="18">
        <v>72</v>
      </c>
      <c r="B77" s="18"/>
      <c r="C77" s="62">
        <v>45853.725717592599</v>
      </c>
      <c r="D77" s="23">
        <v>45853.739247685196</v>
      </c>
      <c r="E77" s="23">
        <v>45854</v>
      </c>
      <c r="F77" s="7" t="s">
        <v>111</v>
      </c>
      <c r="G77" s="7" t="s">
        <v>112</v>
      </c>
      <c r="H77" s="7" t="s">
        <v>647</v>
      </c>
      <c r="I77" s="7" t="s">
        <v>307</v>
      </c>
      <c r="J77" s="7" t="s">
        <v>648</v>
      </c>
      <c r="K77" s="65" t="s">
        <v>649</v>
      </c>
      <c r="L77" s="3" t="s">
        <v>38</v>
      </c>
      <c r="M77" s="3" t="s">
        <v>650</v>
      </c>
      <c r="N77" s="55"/>
      <c r="O77" s="18">
        <v>500</v>
      </c>
      <c r="P77" s="7" t="s">
        <v>40</v>
      </c>
      <c r="Q77" s="19">
        <v>25000</v>
      </c>
      <c r="R77" s="19">
        <v>0</v>
      </c>
      <c r="S77" s="8" t="s">
        <v>432</v>
      </c>
      <c r="T77" s="19"/>
      <c r="U77" s="7" t="s">
        <v>112</v>
      </c>
      <c r="V77" s="7" t="s">
        <v>646</v>
      </c>
      <c r="W77" s="7" t="s">
        <v>42</v>
      </c>
      <c r="X77" s="23"/>
      <c r="Y77" s="25"/>
      <c r="Z77" s="7"/>
      <c r="AA77" s="53" t="s">
        <v>43</v>
      </c>
      <c r="AB77" s="7"/>
      <c r="AC77" s="53" t="s">
        <v>53</v>
      </c>
      <c r="AD77" s="20">
        <v>45856</v>
      </c>
      <c r="AE77" s="24" t="s">
        <v>45</v>
      </c>
      <c r="AF77" s="19"/>
      <c r="AG77" s="19" t="s">
        <v>46</v>
      </c>
    </row>
    <row r="78" spans="1:33" ht="83.25" customHeight="1">
      <c r="A78" s="22">
        <v>187</v>
      </c>
      <c r="B78" s="22"/>
      <c r="C78" s="60">
        <v>46013.692835648202</v>
      </c>
      <c r="D78" s="23">
        <v>46013.694988425901</v>
      </c>
      <c r="E78" s="20">
        <f>DATE(YEAR(OfficeForms.Table[[#This Row],[Completion time]]), MONTH(OfficeForms.Table[[#This Row],[Completion time]]), DAY(OfficeForms.Table[[#This Row],[Completion time]]))</f>
        <v>46013</v>
      </c>
      <c r="F78" s="32" t="s">
        <v>638</v>
      </c>
      <c r="G78" s="24" t="s">
        <v>639</v>
      </c>
      <c r="H78" s="89" t="s">
        <v>651</v>
      </c>
      <c r="I78" s="67" t="s">
        <v>652</v>
      </c>
      <c r="J78" s="3" t="s">
        <v>653</v>
      </c>
      <c r="K78" s="65" t="s">
        <v>643</v>
      </c>
      <c r="L78" s="24" t="s">
        <v>38</v>
      </c>
      <c r="M78" s="3" t="s">
        <v>654</v>
      </c>
      <c r="N78" s="55"/>
      <c r="O78" s="94" t="s">
        <v>96</v>
      </c>
      <c r="P78" s="9" t="s">
        <v>96</v>
      </c>
      <c r="Q78" s="76" t="s">
        <v>96</v>
      </c>
      <c r="R78" s="76" t="s">
        <v>96</v>
      </c>
      <c r="S78" s="9" t="s">
        <v>655</v>
      </c>
      <c r="T78" s="3" t="s">
        <v>42</v>
      </c>
      <c r="U78" s="3" t="s">
        <v>656</v>
      </c>
      <c r="V78" s="9" t="s">
        <v>151</v>
      </c>
      <c r="W78" s="3" t="s">
        <v>42</v>
      </c>
      <c r="Y78" s="32"/>
      <c r="Z78" s="3"/>
      <c r="AA78" s="53"/>
      <c r="AB78" s="32"/>
      <c r="AC78" s="53"/>
      <c r="AD78" s="1">
        <v>46015</v>
      </c>
      <c r="AE78" s="24" t="s">
        <v>621</v>
      </c>
      <c r="AF78" s="19"/>
      <c r="AG78" s="19" t="s">
        <v>657</v>
      </c>
    </row>
    <row r="79" spans="1:33" ht="83.25" customHeight="1">
      <c r="A79" s="18">
        <v>73</v>
      </c>
      <c r="B79" s="18"/>
      <c r="C79" s="62">
        <v>45853.114664351902</v>
      </c>
      <c r="D79" s="23">
        <v>45854.032025462999</v>
      </c>
      <c r="E79" s="23">
        <v>45854</v>
      </c>
      <c r="F79" s="7" t="s">
        <v>658</v>
      </c>
      <c r="G79" s="7" t="s">
        <v>659</v>
      </c>
      <c r="H79" s="7" t="s">
        <v>660</v>
      </c>
      <c r="I79" s="7" t="s">
        <v>661</v>
      </c>
      <c r="J79" s="7" t="s">
        <v>662</v>
      </c>
      <c r="K79" s="65" t="s">
        <v>663</v>
      </c>
      <c r="L79" s="3" t="s">
        <v>38</v>
      </c>
      <c r="M79" s="3" t="s">
        <v>664</v>
      </c>
      <c r="N79" s="55" t="s">
        <v>665</v>
      </c>
      <c r="O79" s="18">
        <v>60000</v>
      </c>
      <c r="P79" s="7" t="s">
        <v>268</v>
      </c>
      <c r="Q79" s="19">
        <v>0</v>
      </c>
      <c r="R79" s="19">
        <v>0</v>
      </c>
      <c r="S79" s="8" t="s">
        <v>96</v>
      </c>
      <c r="T79" s="19"/>
      <c r="U79" s="7" t="s">
        <v>96</v>
      </c>
      <c r="V79" s="7" t="s">
        <v>666</v>
      </c>
      <c r="W79" s="7" t="s">
        <v>152</v>
      </c>
      <c r="X79" s="23">
        <v>45869</v>
      </c>
      <c r="Y79" s="25"/>
      <c r="Z79" s="7"/>
      <c r="AA79" s="53" t="s">
        <v>43</v>
      </c>
      <c r="AB79" s="7"/>
      <c r="AC79" s="53" t="s">
        <v>44</v>
      </c>
      <c r="AD79" s="20">
        <v>45863</v>
      </c>
      <c r="AE79" s="24" t="s">
        <v>45</v>
      </c>
      <c r="AF79" s="19"/>
      <c r="AG79" s="19" t="s">
        <v>71</v>
      </c>
    </row>
    <row r="80" spans="1:33" ht="83.25" customHeight="1">
      <c r="A80" s="18">
        <v>130</v>
      </c>
      <c r="B80" s="18"/>
      <c r="C80" s="62">
        <v>45917.774942129603</v>
      </c>
      <c r="D80" s="23">
        <v>45917.776006944398</v>
      </c>
      <c r="E80" s="23">
        <v>45918</v>
      </c>
      <c r="F80" s="25" t="s">
        <v>175</v>
      </c>
      <c r="G80" s="7" t="s">
        <v>176</v>
      </c>
      <c r="H80" s="7" t="s">
        <v>667</v>
      </c>
      <c r="I80" s="7" t="s">
        <v>668</v>
      </c>
      <c r="J80" s="7" t="s">
        <v>669</v>
      </c>
      <c r="K80" s="21" t="s">
        <v>205</v>
      </c>
      <c r="L80" s="7" t="s">
        <v>38</v>
      </c>
      <c r="M80" s="7" t="s">
        <v>670</v>
      </c>
      <c r="N80" s="55"/>
      <c r="O80" s="74" t="s">
        <v>671</v>
      </c>
      <c r="P80" s="8" t="s">
        <v>40</v>
      </c>
      <c r="Q80" s="74" t="s">
        <v>672</v>
      </c>
      <c r="R80" s="74" t="s">
        <v>672</v>
      </c>
      <c r="S80" s="8" t="s">
        <v>673</v>
      </c>
      <c r="T80" s="19"/>
      <c r="U80" s="7" t="s">
        <v>210</v>
      </c>
      <c r="V80" s="8" t="s">
        <v>669</v>
      </c>
      <c r="W80" s="7" t="s">
        <v>152</v>
      </c>
      <c r="X80" s="23">
        <v>45931</v>
      </c>
      <c r="Y80" s="25"/>
      <c r="Z80" s="7"/>
      <c r="AA80" s="53" t="s">
        <v>43</v>
      </c>
      <c r="AB80" s="7"/>
      <c r="AC80" s="53" t="s">
        <v>130</v>
      </c>
      <c r="AD80" s="20">
        <v>45924</v>
      </c>
      <c r="AE80" s="16" t="s">
        <v>621</v>
      </c>
      <c r="AF80" s="19"/>
      <c r="AG80" s="19" t="s">
        <v>674</v>
      </c>
    </row>
    <row r="81" spans="1:33" ht="83.25" customHeight="1">
      <c r="A81" s="22">
        <v>67</v>
      </c>
      <c r="B81" s="22"/>
      <c r="C81" s="60">
        <v>45852.737141203703</v>
      </c>
      <c r="D81" s="23">
        <v>45852.743969907402</v>
      </c>
      <c r="E81" s="23">
        <v>45852</v>
      </c>
      <c r="F81" s="3" t="s">
        <v>350</v>
      </c>
      <c r="G81" s="3" t="s">
        <v>55</v>
      </c>
      <c r="H81" s="2" t="s">
        <v>675</v>
      </c>
      <c r="I81" s="3" t="s">
        <v>676</v>
      </c>
      <c r="J81" s="3" t="s">
        <v>677</v>
      </c>
      <c r="K81" s="21" t="s">
        <v>59</v>
      </c>
      <c r="L81" s="3" t="s">
        <v>38</v>
      </c>
      <c r="M81" s="3" t="s">
        <v>678</v>
      </c>
      <c r="N81" s="55"/>
      <c r="O81" s="2">
        <v>904</v>
      </c>
      <c r="P81" s="3" t="s">
        <v>40</v>
      </c>
      <c r="Q81" s="2">
        <v>271000</v>
      </c>
      <c r="R81" s="2">
        <v>150000</v>
      </c>
      <c r="S81" s="9" t="s">
        <v>679</v>
      </c>
      <c r="U81" s="3" t="s">
        <v>55</v>
      </c>
      <c r="V81" s="3" t="s">
        <v>151</v>
      </c>
      <c r="W81" s="3" t="s">
        <v>152</v>
      </c>
      <c r="X81" s="17">
        <v>45811</v>
      </c>
      <c r="Y81" s="32"/>
      <c r="Z81" s="3"/>
      <c r="AA81" s="4" t="s">
        <v>43</v>
      </c>
      <c r="AB81" s="3"/>
      <c r="AC81" s="53" t="s">
        <v>44</v>
      </c>
      <c r="AD81" s="1">
        <v>45854</v>
      </c>
      <c r="AE81" s="24" t="s">
        <v>621</v>
      </c>
      <c r="AF81" s="19"/>
      <c r="AG81" s="19" t="s">
        <v>71</v>
      </c>
    </row>
    <row r="82" spans="1:33" ht="83.25" customHeight="1">
      <c r="A82" s="18">
        <v>76</v>
      </c>
      <c r="B82" s="18"/>
      <c r="C82" s="62">
        <v>45855.977395833303</v>
      </c>
      <c r="D82" s="23">
        <v>45855.980104166701</v>
      </c>
      <c r="E82" s="23">
        <v>45856</v>
      </c>
      <c r="F82" s="7" t="s">
        <v>241</v>
      </c>
      <c r="G82" s="7" t="s">
        <v>242</v>
      </c>
      <c r="H82" s="7" t="s">
        <v>680</v>
      </c>
      <c r="I82" s="7" t="s">
        <v>681</v>
      </c>
      <c r="J82" s="7" t="s">
        <v>682</v>
      </c>
      <c r="K82" s="21" t="s">
        <v>683</v>
      </c>
      <c r="L82" s="64" t="s">
        <v>38</v>
      </c>
      <c r="M82" s="7" t="s">
        <v>684</v>
      </c>
      <c r="N82" s="55"/>
      <c r="O82" s="19">
        <v>2000</v>
      </c>
      <c r="P82" s="7" t="s">
        <v>268</v>
      </c>
      <c r="Q82" s="19">
        <v>2.8</v>
      </c>
      <c r="R82" s="19">
        <v>300000</v>
      </c>
      <c r="S82" s="8" t="s">
        <v>685</v>
      </c>
      <c r="T82" s="19"/>
      <c r="U82" s="7" t="s">
        <v>487</v>
      </c>
      <c r="V82" s="7" t="s">
        <v>151</v>
      </c>
      <c r="W82" s="7" t="s">
        <v>119</v>
      </c>
      <c r="X82" s="23"/>
      <c r="Y82" s="25"/>
      <c r="Z82" s="7"/>
      <c r="AA82" s="53" t="s">
        <v>43</v>
      </c>
      <c r="AB82" s="7"/>
      <c r="AC82" s="53" t="s">
        <v>44</v>
      </c>
      <c r="AD82" s="59">
        <v>45918</v>
      </c>
      <c r="AE82" s="16" t="s">
        <v>45</v>
      </c>
      <c r="AF82" s="19"/>
      <c r="AG82" s="19" t="s">
        <v>46</v>
      </c>
    </row>
    <row r="83" spans="1:33" ht="83.25" customHeight="1">
      <c r="A83" s="18"/>
      <c r="B83" s="18"/>
      <c r="C83" s="62">
        <v>45852.693101851903</v>
      </c>
      <c r="D83" s="23">
        <v>45852.746469907397</v>
      </c>
      <c r="E83" s="83">
        <v>45855</v>
      </c>
      <c r="F83" s="7" t="s">
        <v>350</v>
      </c>
      <c r="G83" s="7" t="s">
        <v>55</v>
      </c>
      <c r="H83" s="19" t="s">
        <v>686</v>
      </c>
      <c r="I83" s="7" t="s">
        <v>687</v>
      </c>
      <c r="J83" s="7" t="s">
        <v>688</v>
      </c>
      <c r="K83" s="21" t="s">
        <v>59</v>
      </c>
      <c r="L83" s="7" t="s">
        <v>38</v>
      </c>
      <c r="M83" s="7" t="s">
        <v>689</v>
      </c>
      <c r="N83" s="55"/>
      <c r="O83" s="19">
        <v>904</v>
      </c>
      <c r="P83" s="7" t="s">
        <v>40</v>
      </c>
      <c r="Q83" s="19">
        <v>271000</v>
      </c>
      <c r="R83" s="19">
        <v>150000</v>
      </c>
      <c r="S83" s="8" t="s">
        <v>690</v>
      </c>
      <c r="T83" s="19"/>
      <c r="U83" s="7" t="s">
        <v>55</v>
      </c>
      <c r="V83" s="7" t="s">
        <v>646</v>
      </c>
      <c r="W83" s="7" t="s">
        <v>152</v>
      </c>
      <c r="X83" s="23">
        <v>45811</v>
      </c>
      <c r="Y83" s="25"/>
      <c r="Z83" s="7"/>
      <c r="AA83" s="4" t="s">
        <v>43</v>
      </c>
      <c r="AB83" s="7"/>
      <c r="AC83" s="53" t="s">
        <v>44</v>
      </c>
      <c r="AD83" s="20">
        <v>45845</v>
      </c>
      <c r="AE83" s="16" t="s">
        <v>621</v>
      </c>
      <c r="AF83" s="19"/>
      <c r="AG83" s="19" t="s">
        <v>71</v>
      </c>
    </row>
    <row r="84" spans="1:33" ht="83.25" customHeight="1">
      <c r="A84" s="18">
        <v>78</v>
      </c>
      <c r="B84" s="18"/>
      <c r="C84" s="62">
        <v>45861.584016203698</v>
      </c>
      <c r="D84" s="23">
        <v>45861.5857986111</v>
      </c>
      <c r="E84" s="23">
        <f>DATE(YEAR(OfficeForms.Table[[#This Row],[Completion time]]), MONTH(OfficeForms.Table[[#This Row],[Completion time]]), DAY(OfficeForms.Table[[#This Row],[Completion time]]))</f>
        <v>45861</v>
      </c>
      <c r="F84" s="7" t="s">
        <v>175</v>
      </c>
      <c r="G84" s="7" t="s">
        <v>176</v>
      </c>
      <c r="H84" s="7" t="s">
        <v>691</v>
      </c>
      <c r="I84" s="7" t="s">
        <v>692</v>
      </c>
      <c r="J84" s="7" t="s">
        <v>692</v>
      </c>
      <c r="K84" s="21" t="s">
        <v>137</v>
      </c>
      <c r="L84" s="64" t="s">
        <v>346</v>
      </c>
      <c r="M84" s="7" t="s">
        <v>693</v>
      </c>
      <c r="N84" s="55" t="s">
        <v>694</v>
      </c>
      <c r="O84" s="19">
        <v>250000</v>
      </c>
      <c r="P84" s="7" t="s">
        <v>565</v>
      </c>
      <c r="Q84" s="19">
        <v>60</v>
      </c>
      <c r="R84" s="19">
        <v>60</v>
      </c>
      <c r="S84" s="8" t="s">
        <v>695</v>
      </c>
      <c r="T84" s="19"/>
      <c r="U84" s="7" t="s">
        <v>210</v>
      </c>
      <c r="V84" s="7" t="s">
        <v>696</v>
      </c>
      <c r="W84" s="7" t="s">
        <v>119</v>
      </c>
      <c r="X84" s="23"/>
      <c r="Y84" s="77" t="s">
        <v>129</v>
      </c>
      <c r="Z84" s="7"/>
      <c r="AA84" s="53" t="s">
        <v>43</v>
      </c>
      <c r="AB84" s="7"/>
      <c r="AC84" s="53" t="s">
        <v>130</v>
      </c>
      <c r="AD84" s="20"/>
      <c r="AE84" s="16" t="s">
        <v>45</v>
      </c>
      <c r="AF84" s="19"/>
      <c r="AG84" s="19" t="s">
        <v>71</v>
      </c>
    </row>
    <row r="85" spans="1:33" ht="83.25" customHeight="1">
      <c r="A85" s="18">
        <v>224</v>
      </c>
      <c r="B85" s="18"/>
      <c r="C85" s="62">
        <v>46100.720659722203</v>
      </c>
      <c r="D85" s="23">
        <v>46100.732233796298</v>
      </c>
      <c r="E85" s="20">
        <f>DATE(YEAR(OfficeForms.Table[[#This Row],[Completion time]]), MONTH(OfficeForms.Table[[#This Row],[Completion time]]), DAY(OfficeForms.Table[[#This Row],[Completion time]]))</f>
        <v>46100</v>
      </c>
      <c r="F85" s="25" t="s">
        <v>350</v>
      </c>
      <c r="G85" s="7" t="s">
        <v>55</v>
      </c>
      <c r="H85" s="7" t="s">
        <v>697</v>
      </c>
      <c r="I85" s="7" t="s">
        <v>698</v>
      </c>
      <c r="J85" s="7" t="s">
        <v>699</v>
      </c>
      <c r="K85" s="21" t="s">
        <v>59</v>
      </c>
      <c r="L85" s="7"/>
      <c r="M85" s="86"/>
      <c r="N85" s="55"/>
      <c r="O85" s="74" t="s">
        <v>700</v>
      </c>
      <c r="P85" s="8" t="s">
        <v>40</v>
      </c>
      <c r="Q85" s="74" t="s">
        <v>701</v>
      </c>
      <c r="R85" s="74" t="s">
        <v>117</v>
      </c>
      <c r="S85" s="8" t="s">
        <v>702</v>
      </c>
      <c r="T85" s="8" t="s">
        <v>96</v>
      </c>
      <c r="U85" s="7" t="s">
        <v>703</v>
      </c>
      <c r="V85" s="8" t="s">
        <v>151</v>
      </c>
      <c r="W85" s="7" t="s">
        <v>152</v>
      </c>
      <c r="X85" s="23">
        <v>46097</v>
      </c>
      <c r="Y85" s="25"/>
      <c r="Z85" s="7"/>
      <c r="AA85" s="53"/>
      <c r="AB85" s="25"/>
      <c r="AC85" s="53"/>
      <c r="AD85" s="20"/>
      <c r="AE85" s="16" t="s">
        <v>621</v>
      </c>
      <c r="AF85" s="19"/>
      <c r="AG85" s="19"/>
    </row>
    <row r="86" spans="1:33" ht="83.25" customHeight="1">
      <c r="A86" s="18">
        <v>80</v>
      </c>
      <c r="B86" s="18"/>
      <c r="C86" s="62">
        <v>45866.528715277796</v>
      </c>
      <c r="D86" s="23">
        <v>45866.530902777798</v>
      </c>
      <c r="E86" s="23">
        <v>45867</v>
      </c>
      <c r="F86" s="7" t="s">
        <v>155</v>
      </c>
      <c r="G86" s="7" t="s">
        <v>121</v>
      </c>
      <c r="H86" s="7" t="s">
        <v>704</v>
      </c>
      <c r="I86" s="7" t="s">
        <v>705</v>
      </c>
      <c r="J86" s="7" t="s">
        <v>706</v>
      </c>
      <c r="K86" s="21" t="s">
        <v>125</v>
      </c>
      <c r="L86" s="7" t="s">
        <v>38</v>
      </c>
      <c r="M86" s="7" t="s">
        <v>707</v>
      </c>
      <c r="N86" s="55"/>
      <c r="O86" s="74" t="s">
        <v>117</v>
      </c>
      <c r="P86" s="8" t="s">
        <v>171</v>
      </c>
      <c r="Q86" s="74" t="s">
        <v>117</v>
      </c>
      <c r="R86" s="74" t="s">
        <v>117</v>
      </c>
      <c r="S86" s="8" t="s">
        <v>708</v>
      </c>
      <c r="T86" s="19"/>
      <c r="U86" s="7" t="s">
        <v>709</v>
      </c>
      <c r="V86" s="7" t="s">
        <v>710</v>
      </c>
      <c r="W86" s="7" t="s">
        <v>119</v>
      </c>
      <c r="X86" s="23"/>
      <c r="Y86" s="25" t="s">
        <v>129</v>
      </c>
      <c r="Z86" s="7"/>
      <c r="AA86" s="53" t="s">
        <v>356</v>
      </c>
      <c r="AB86" s="64"/>
      <c r="AC86" s="53" t="s">
        <v>130</v>
      </c>
      <c r="AD86" s="20">
        <v>45918</v>
      </c>
      <c r="AE86" s="16" t="s">
        <v>45</v>
      </c>
      <c r="AF86" s="19"/>
      <c r="AG86" s="19" t="s">
        <v>132</v>
      </c>
    </row>
    <row r="87" spans="1:33" ht="83.25" customHeight="1">
      <c r="A87" s="18">
        <v>220</v>
      </c>
      <c r="B87" s="18"/>
      <c r="C87" s="62">
        <v>46094.666550925896</v>
      </c>
      <c r="D87" s="23">
        <v>46094.690300925897</v>
      </c>
      <c r="E87" s="20">
        <f>DATE(YEAR(OfficeForms.Table[[#This Row],[Completion time]]), MONTH(OfficeForms.Table[[#This Row],[Completion time]]), DAY(OfficeForms.Table[[#This Row],[Completion time]]))</f>
        <v>46094</v>
      </c>
      <c r="F87" s="25" t="s">
        <v>711</v>
      </c>
      <c r="G87" s="7" t="s">
        <v>712</v>
      </c>
      <c r="H87" s="7"/>
      <c r="I87" s="7" t="s">
        <v>713</v>
      </c>
      <c r="J87" s="7" t="s">
        <v>714</v>
      </c>
      <c r="K87" s="21" t="s">
        <v>715</v>
      </c>
      <c r="L87" s="7" t="s">
        <v>38</v>
      </c>
      <c r="M87" s="86"/>
      <c r="N87" s="55" t="s">
        <v>716</v>
      </c>
      <c r="O87" s="74" t="s">
        <v>717</v>
      </c>
      <c r="P87" s="8" t="s">
        <v>40</v>
      </c>
      <c r="Q87" s="74" t="s">
        <v>718</v>
      </c>
      <c r="R87" s="74" t="s">
        <v>719</v>
      </c>
      <c r="S87" s="8" t="s">
        <v>720</v>
      </c>
      <c r="T87" s="8" t="s">
        <v>42</v>
      </c>
      <c r="U87" s="7" t="s">
        <v>712</v>
      </c>
      <c r="V87" s="8" t="s">
        <v>721</v>
      </c>
      <c r="W87" s="7" t="s">
        <v>119</v>
      </c>
      <c r="X87" s="23"/>
      <c r="Y87" s="25"/>
      <c r="Z87" s="7"/>
      <c r="AA87" s="53"/>
      <c r="AB87" s="25"/>
      <c r="AC87" s="53" t="s">
        <v>416</v>
      </c>
      <c r="AD87" s="20"/>
      <c r="AE87" s="16" t="s">
        <v>621</v>
      </c>
      <c r="AF87" s="19"/>
      <c r="AG87" s="19"/>
    </row>
    <row r="88" spans="1:33" ht="83.25" customHeight="1">
      <c r="A88" s="18">
        <v>127</v>
      </c>
      <c r="B88" s="18"/>
      <c r="C88" s="62">
        <v>45912.712164351797</v>
      </c>
      <c r="D88" s="23">
        <v>45912.716238425899</v>
      </c>
      <c r="E88" s="82">
        <v>45915</v>
      </c>
      <c r="F88" s="25" t="s">
        <v>350</v>
      </c>
      <c r="G88" s="7" t="s">
        <v>55</v>
      </c>
      <c r="H88" s="7" t="s">
        <v>722</v>
      </c>
      <c r="I88" s="7" t="s">
        <v>723</v>
      </c>
      <c r="J88" s="7" t="s">
        <v>724</v>
      </c>
      <c r="K88" s="21" t="s">
        <v>345</v>
      </c>
      <c r="L88" s="7" t="s">
        <v>38</v>
      </c>
      <c r="M88" s="7" t="s">
        <v>725</v>
      </c>
      <c r="N88" s="55"/>
      <c r="O88" s="74" t="s">
        <v>726</v>
      </c>
      <c r="P88" s="8" t="s">
        <v>40</v>
      </c>
      <c r="Q88" s="74" t="s">
        <v>727</v>
      </c>
      <c r="R88" s="74" t="s">
        <v>96</v>
      </c>
      <c r="S88" s="8" t="s">
        <v>728</v>
      </c>
      <c r="T88" s="19"/>
      <c r="U88" s="7" t="s">
        <v>252</v>
      </c>
      <c r="V88" s="8" t="s">
        <v>151</v>
      </c>
      <c r="W88" s="7" t="s">
        <v>42</v>
      </c>
      <c r="X88" s="23"/>
      <c r="Y88" s="25"/>
      <c r="Z88" s="7"/>
      <c r="AA88" s="53" t="s">
        <v>43</v>
      </c>
      <c r="AB88" s="7"/>
      <c r="AC88" s="53" t="s">
        <v>44</v>
      </c>
      <c r="AD88" s="20">
        <v>45924</v>
      </c>
      <c r="AE88" s="16" t="s">
        <v>621</v>
      </c>
      <c r="AF88" s="70" t="s">
        <v>729</v>
      </c>
      <c r="AG88" s="19" t="s">
        <v>730</v>
      </c>
    </row>
    <row r="89" spans="1:33" ht="83.25" customHeight="1">
      <c r="A89" s="18">
        <v>83</v>
      </c>
      <c r="B89" s="18"/>
      <c r="C89" s="62">
        <v>45868.518275463</v>
      </c>
      <c r="D89" s="23">
        <v>45868.524895833303</v>
      </c>
      <c r="E89" s="23">
        <v>45869</v>
      </c>
      <c r="F89" s="7" t="s">
        <v>559</v>
      </c>
      <c r="G89" s="7" t="s">
        <v>560</v>
      </c>
      <c r="H89" s="7" t="s">
        <v>731</v>
      </c>
      <c r="I89" s="7" t="s">
        <v>732</v>
      </c>
      <c r="J89" s="7" t="s">
        <v>733</v>
      </c>
      <c r="K89" s="21" t="s">
        <v>734</v>
      </c>
      <c r="L89" s="7" t="s">
        <v>38</v>
      </c>
      <c r="M89" s="7" t="s">
        <v>735</v>
      </c>
      <c r="N89" s="55" t="s">
        <v>736</v>
      </c>
      <c r="O89" s="74" t="s">
        <v>737</v>
      </c>
      <c r="P89" s="8" t="s">
        <v>40</v>
      </c>
      <c r="Q89" s="74" t="s">
        <v>738</v>
      </c>
      <c r="R89" s="75">
        <v>60000</v>
      </c>
      <c r="S89" s="8" t="s">
        <v>739</v>
      </c>
      <c r="T89" s="19"/>
      <c r="U89" s="7" t="s">
        <v>560</v>
      </c>
      <c r="V89" s="7" t="s">
        <v>740</v>
      </c>
      <c r="W89" s="7" t="s">
        <v>119</v>
      </c>
      <c r="X89" s="23"/>
      <c r="Y89" s="25"/>
      <c r="Z89" s="7"/>
      <c r="AA89" s="53" t="s">
        <v>43</v>
      </c>
      <c r="AB89" s="7"/>
      <c r="AC89" s="53" t="s">
        <v>416</v>
      </c>
      <c r="AD89" s="20">
        <v>45869</v>
      </c>
      <c r="AE89" s="16" t="s">
        <v>45</v>
      </c>
      <c r="AF89" s="19"/>
      <c r="AG89" s="19" t="s">
        <v>71</v>
      </c>
    </row>
    <row r="90" spans="1:33" ht="83.25" customHeight="1">
      <c r="A90" s="18">
        <v>83</v>
      </c>
      <c r="B90" s="18"/>
      <c r="C90" s="62">
        <v>45868.518275463</v>
      </c>
      <c r="D90" s="23">
        <v>45868.524895833303</v>
      </c>
      <c r="E90" s="23">
        <v>45869</v>
      </c>
      <c r="F90" s="7" t="s">
        <v>559</v>
      </c>
      <c r="G90" s="7" t="s">
        <v>560</v>
      </c>
      <c r="H90" s="7" t="s">
        <v>731</v>
      </c>
      <c r="I90" s="7" t="s">
        <v>741</v>
      </c>
      <c r="J90" s="7" t="s">
        <v>733</v>
      </c>
      <c r="K90" s="21" t="s">
        <v>734</v>
      </c>
      <c r="L90" s="3" t="s">
        <v>38</v>
      </c>
      <c r="M90" s="3" t="s">
        <v>742</v>
      </c>
      <c r="N90" s="55"/>
      <c r="O90" s="76">
        <v>500</v>
      </c>
      <c r="P90" s="8" t="s">
        <v>40</v>
      </c>
      <c r="Q90" s="74" t="s">
        <v>738</v>
      </c>
      <c r="R90" s="75">
        <v>60000</v>
      </c>
      <c r="S90" s="8" t="s">
        <v>739</v>
      </c>
      <c r="T90" s="19"/>
      <c r="U90" s="7" t="s">
        <v>560</v>
      </c>
      <c r="V90" s="7" t="s">
        <v>740</v>
      </c>
      <c r="W90" s="7" t="s">
        <v>119</v>
      </c>
      <c r="X90" s="23"/>
      <c r="Y90" s="25"/>
      <c r="Z90" s="7"/>
      <c r="AA90" s="53" t="s">
        <v>43</v>
      </c>
      <c r="AB90" s="7"/>
      <c r="AC90" s="53" t="s">
        <v>416</v>
      </c>
      <c r="AD90" s="1">
        <v>45869</v>
      </c>
      <c r="AE90" s="24" t="s">
        <v>45</v>
      </c>
      <c r="AF90" s="19"/>
      <c r="AG90" s="19" t="s">
        <v>46</v>
      </c>
    </row>
    <row r="91" spans="1:33" ht="83.25" customHeight="1">
      <c r="A91" s="18">
        <v>216</v>
      </c>
      <c r="B91" s="18"/>
      <c r="C91" s="62">
        <v>46090.533530092602</v>
      </c>
      <c r="D91" s="23">
        <v>46090.538946759298</v>
      </c>
      <c r="E91" s="20">
        <f>DATE(YEAR(OfficeForms.Table[[#This Row],[Completion time]]), MONTH(OfficeForms.Table[[#This Row],[Completion time]]), DAY(OfficeForms.Table[[#This Row],[Completion time]]))</f>
        <v>46090</v>
      </c>
      <c r="F91" s="25" t="s">
        <v>743</v>
      </c>
      <c r="G91" s="7" t="s">
        <v>744</v>
      </c>
      <c r="H91" s="7" t="s">
        <v>745</v>
      </c>
      <c r="I91" s="7" t="s">
        <v>746</v>
      </c>
      <c r="J91" s="7" t="s">
        <v>747</v>
      </c>
      <c r="K91" s="21" t="s">
        <v>255</v>
      </c>
      <c r="L91" s="7" t="s">
        <v>38</v>
      </c>
      <c r="M91" s="88" t="s">
        <v>748</v>
      </c>
      <c r="N91" s="55" t="s">
        <v>749</v>
      </c>
      <c r="O91" s="74" t="s">
        <v>750</v>
      </c>
      <c r="P91" s="8" t="s">
        <v>40</v>
      </c>
      <c r="Q91" s="74" t="s">
        <v>751</v>
      </c>
      <c r="R91" s="74" t="s">
        <v>752</v>
      </c>
      <c r="S91" s="8" t="s">
        <v>753</v>
      </c>
      <c r="T91" s="8" t="s">
        <v>96</v>
      </c>
      <c r="U91" s="7" t="s">
        <v>744</v>
      </c>
      <c r="V91" s="8" t="s">
        <v>754</v>
      </c>
      <c r="W91" s="7" t="s">
        <v>119</v>
      </c>
      <c r="X91" s="23"/>
      <c r="Y91" s="25"/>
      <c r="Z91" s="7"/>
      <c r="AA91" s="53"/>
      <c r="AB91" s="25"/>
      <c r="AC91" s="53"/>
      <c r="AD91" s="20">
        <v>46090</v>
      </c>
      <c r="AE91" s="16" t="s">
        <v>621</v>
      </c>
      <c r="AF91" s="19"/>
      <c r="AG91" s="19" t="s">
        <v>755</v>
      </c>
    </row>
    <row r="92" spans="1:33" ht="83.25" customHeight="1">
      <c r="A92" s="18">
        <v>85</v>
      </c>
      <c r="B92" s="18"/>
      <c r="C92" s="62">
        <v>45868.716851851903</v>
      </c>
      <c r="D92" s="23">
        <v>45868.718333333301</v>
      </c>
      <c r="E92" s="23">
        <v>45869</v>
      </c>
      <c r="F92" s="7" t="s">
        <v>155</v>
      </c>
      <c r="G92" s="7" t="s">
        <v>121</v>
      </c>
      <c r="H92" s="7" t="s">
        <v>756</v>
      </c>
      <c r="I92" s="7" t="s">
        <v>757</v>
      </c>
      <c r="J92" s="7" t="s">
        <v>758</v>
      </c>
      <c r="K92" s="21" t="s">
        <v>759</v>
      </c>
      <c r="L92" s="7" t="s">
        <v>206</v>
      </c>
      <c r="M92" s="7" t="s">
        <v>760</v>
      </c>
      <c r="N92" s="55"/>
      <c r="O92" s="74" t="s">
        <v>761</v>
      </c>
      <c r="P92" s="8" t="s">
        <v>117</v>
      </c>
      <c r="Q92" s="74" t="s">
        <v>117</v>
      </c>
      <c r="R92" s="74" t="s">
        <v>117</v>
      </c>
      <c r="S92" s="8" t="s">
        <v>117</v>
      </c>
      <c r="T92" s="19"/>
      <c r="U92" s="7" t="s">
        <v>762</v>
      </c>
      <c r="V92" s="7" t="s">
        <v>763</v>
      </c>
      <c r="W92" s="7" t="s">
        <v>119</v>
      </c>
      <c r="X92" s="23"/>
      <c r="Y92" s="25"/>
      <c r="Z92" s="7"/>
      <c r="AA92" s="53" t="s">
        <v>43</v>
      </c>
      <c r="AB92" s="7"/>
      <c r="AC92" s="53" t="s">
        <v>130</v>
      </c>
      <c r="AD92" s="20">
        <v>45869</v>
      </c>
      <c r="AE92" s="16" t="s">
        <v>45</v>
      </c>
      <c r="AF92" s="19"/>
      <c r="AG92" s="19" t="s">
        <v>132</v>
      </c>
    </row>
    <row r="93" spans="1:33" ht="83.25" customHeight="1">
      <c r="A93" s="18">
        <v>104</v>
      </c>
      <c r="B93" s="18"/>
      <c r="C93" s="62">
        <v>45881.720787036997</v>
      </c>
      <c r="D93" s="23">
        <v>45881.725046296298</v>
      </c>
      <c r="E93" s="23">
        <v>45882</v>
      </c>
      <c r="F93" s="7" t="s">
        <v>764</v>
      </c>
      <c r="G93" s="7" t="s">
        <v>765</v>
      </c>
      <c r="H93" s="54" t="s">
        <v>766</v>
      </c>
      <c r="I93" s="7" t="s">
        <v>767</v>
      </c>
      <c r="J93" s="7" t="s">
        <v>768</v>
      </c>
      <c r="K93" s="21" t="s">
        <v>769</v>
      </c>
      <c r="L93" s="7" t="s">
        <v>38</v>
      </c>
      <c r="M93" s="7" t="s">
        <v>770</v>
      </c>
      <c r="N93" s="55"/>
      <c r="O93" s="74" t="s">
        <v>771</v>
      </c>
      <c r="P93" s="8" t="s">
        <v>40</v>
      </c>
      <c r="Q93" s="74" t="s">
        <v>96</v>
      </c>
      <c r="R93" s="74" t="s">
        <v>772</v>
      </c>
      <c r="S93" s="8" t="s">
        <v>773</v>
      </c>
      <c r="T93" s="19"/>
      <c r="U93" s="7" t="s">
        <v>765</v>
      </c>
      <c r="V93" s="7" t="s">
        <v>774</v>
      </c>
      <c r="W93" s="7" t="s">
        <v>119</v>
      </c>
      <c r="X93" s="23"/>
      <c r="Y93" s="25"/>
      <c r="Z93" s="7"/>
      <c r="AA93" s="53" t="s">
        <v>43</v>
      </c>
      <c r="AB93" s="7"/>
      <c r="AC93" s="53" t="s">
        <v>130</v>
      </c>
      <c r="AD93" s="20">
        <v>45889</v>
      </c>
      <c r="AE93" s="16" t="s">
        <v>621</v>
      </c>
      <c r="AF93" s="19"/>
      <c r="AG93" s="19" t="s">
        <v>46</v>
      </c>
    </row>
    <row r="94" spans="1:33" ht="83.25" customHeight="1">
      <c r="A94" s="18">
        <v>87</v>
      </c>
      <c r="B94" s="18"/>
      <c r="C94" s="62">
        <v>45870.456817129598</v>
      </c>
      <c r="D94" s="23">
        <v>45870.468391203707</v>
      </c>
      <c r="E94" s="23">
        <f>DATE(YEAR(OfficeForms.Table[[#This Row],[Completion time]]), MONTH(OfficeForms.Table[[#This Row],[Completion time]]), DAY(OfficeForms.Table[[#This Row],[Completion time]]))</f>
        <v>45870</v>
      </c>
      <c r="F94" s="7" t="s">
        <v>374</v>
      </c>
      <c r="G94" s="7" t="s">
        <v>133</v>
      </c>
      <c r="H94" s="7" t="s">
        <v>775</v>
      </c>
      <c r="I94" s="7" t="s">
        <v>776</v>
      </c>
      <c r="J94" s="7" t="s">
        <v>777</v>
      </c>
      <c r="K94" s="21" t="s">
        <v>778</v>
      </c>
      <c r="L94" s="64" t="s">
        <v>60</v>
      </c>
      <c r="M94" s="7" t="s">
        <v>779</v>
      </c>
      <c r="N94" s="55"/>
      <c r="O94" s="74" t="s">
        <v>780</v>
      </c>
      <c r="P94" s="8" t="s">
        <v>148</v>
      </c>
      <c r="Q94" s="74" t="s">
        <v>781</v>
      </c>
      <c r="R94" s="74" t="s">
        <v>782</v>
      </c>
      <c r="S94" s="8" t="s">
        <v>783</v>
      </c>
      <c r="T94" s="19"/>
      <c r="U94" s="7" t="s">
        <v>784</v>
      </c>
      <c r="V94" s="7" t="s">
        <v>785</v>
      </c>
      <c r="W94" s="7" t="s">
        <v>119</v>
      </c>
      <c r="X94" s="23"/>
      <c r="Y94" s="25"/>
      <c r="Z94" s="7"/>
      <c r="AA94" s="53"/>
      <c r="AB94" s="7"/>
      <c r="AC94" s="53"/>
      <c r="AD94" s="20"/>
      <c r="AE94" s="66" t="s">
        <v>229</v>
      </c>
      <c r="AF94" s="19"/>
      <c r="AG94" s="19" t="s">
        <v>71</v>
      </c>
    </row>
    <row r="95" spans="1:33" ht="83.25" customHeight="1">
      <c r="A95" s="18">
        <v>203</v>
      </c>
      <c r="B95" s="18"/>
      <c r="C95" s="62">
        <v>46071.490277777797</v>
      </c>
      <c r="D95" s="23">
        <v>46071.506122685198</v>
      </c>
      <c r="E95" s="20">
        <f>DATE(YEAR(OfficeForms.Table[[#This Row],[Completion time]]), MONTH(OfficeForms.Table[[#This Row],[Completion time]]), DAY(OfficeForms.Table[[#This Row],[Completion time]]))</f>
        <v>46071</v>
      </c>
      <c r="F95" s="25" t="s">
        <v>786</v>
      </c>
      <c r="G95" s="7" t="s">
        <v>787</v>
      </c>
      <c r="H95" s="7" t="s">
        <v>788</v>
      </c>
      <c r="I95" s="7" t="s">
        <v>789</v>
      </c>
      <c r="J95" s="7" t="s">
        <v>790</v>
      </c>
      <c r="K95" s="21" t="s">
        <v>791</v>
      </c>
      <c r="L95" s="7" t="s">
        <v>38</v>
      </c>
      <c r="M95" s="86" t="s">
        <v>792</v>
      </c>
      <c r="N95" s="55"/>
      <c r="O95" s="74" t="s">
        <v>793</v>
      </c>
      <c r="P95" s="8" t="s">
        <v>40</v>
      </c>
      <c r="Q95" s="74" t="s">
        <v>794</v>
      </c>
      <c r="R95" s="74" t="s">
        <v>795</v>
      </c>
      <c r="S95" s="8" t="s">
        <v>796</v>
      </c>
      <c r="T95" s="8" t="s">
        <v>96</v>
      </c>
      <c r="U95" s="7" t="s">
        <v>765</v>
      </c>
      <c r="V95" s="8" t="s">
        <v>96</v>
      </c>
      <c r="W95" s="7" t="s">
        <v>119</v>
      </c>
      <c r="X95" s="23"/>
      <c r="Y95" s="25"/>
      <c r="Z95" s="7"/>
      <c r="AA95" s="53"/>
      <c r="AB95" s="32"/>
      <c r="AC95" s="53" t="s">
        <v>130</v>
      </c>
      <c r="AD95" s="20"/>
      <c r="AE95" s="16" t="s">
        <v>621</v>
      </c>
      <c r="AF95" s="19"/>
      <c r="AG95" s="19" t="s">
        <v>71</v>
      </c>
    </row>
    <row r="96" spans="1:33" ht="83.25" customHeight="1">
      <c r="A96" s="22">
        <v>108</v>
      </c>
      <c r="B96" s="22"/>
      <c r="C96" s="60">
        <v>45887.539004629602</v>
      </c>
      <c r="D96" s="23">
        <v>45887.543391203697</v>
      </c>
      <c r="E96" s="23">
        <f>DATE(YEAR(OfficeForms.Table[[#This Row],[Completion time]]), MONTH(OfficeForms.Table[[#This Row],[Completion time]]), DAY(OfficeForms.Table[[#This Row],[Completion time]]))</f>
        <v>45887</v>
      </c>
      <c r="F96" s="3" t="s">
        <v>559</v>
      </c>
      <c r="G96" s="3" t="s">
        <v>560</v>
      </c>
      <c r="H96" s="3" t="s">
        <v>797</v>
      </c>
      <c r="I96" s="3" t="s">
        <v>798</v>
      </c>
      <c r="J96" s="3" t="s">
        <v>798</v>
      </c>
      <c r="K96" s="21" t="s">
        <v>799</v>
      </c>
      <c r="L96" s="3" t="s">
        <v>38</v>
      </c>
      <c r="M96" s="3" t="s">
        <v>800</v>
      </c>
      <c r="N96" s="55"/>
      <c r="O96" s="76" t="s">
        <v>801</v>
      </c>
      <c r="P96" s="9" t="s">
        <v>40</v>
      </c>
      <c r="Q96" s="76" t="s">
        <v>802</v>
      </c>
      <c r="R96" s="76" t="s">
        <v>803</v>
      </c>
      <c r="S96" s="9" t="s">
        <v>804</v>
      </c>
      <c r="U96" s="3" t="s">
        <v>560</v>
      </c>
      <c r="V96" s="3" t="s">
        <v>805</v>
      </c>
      <c r="W96" s="3" t="s">
        <v>119</v>
      </c>
      <c r="Y96" s="32"/>
      <c r="Z96" s="3"/>
      <c r="AA96" s="53" t="s">
        <v>356</v>
      </c>
      <c r="AB96" s="3"/>
      <c r="AC96" s="53" t="s">
        <v>416</v>
      </c>
      <c r="AD96" s="20">
        <v>45905</v>
      </c>
      <c r="AE96" s="24" t="s">
        <v>621</v>
      </c>
      <c r="AF96" s="19"/>
      <c r="AG96" s="19" t="s">
        <v>71</v>
      </c>
    </row>
    <row r="97" spans="1:33" ht="83.25" customHeight="1">
      <c r="A97" s="22">
        <v>103</v>
      </c>
      <c r="B97" s="22"/>
      <c r="C97" s="60">
        <v>45881.690509259301</v>
      </c>
      <c r="D97" s="23">
        <v>45881.691504629598</v>
      </c>
      <c r="E97" s="23">
        <v>45882</v>
      </c>
      <c r="F97" s="3" t="s">
        <v>305</v>
      </c>
      <c r="G97" s="3" t="s">
        <v>306</v>
      </c>
      <c r="H97" s="3" t="s">
        <v>806</v>
      </c>
      <c r="I97" s="3" t="s">
        <v>807</v>
      </c>
      <c r="J97" s="3" t="s">
        <v>808</v>
      </c>
      <c r="K97" s="21" t="s">
        <v>809</v>
      </c>
      <c r="L97" s="3" t="s">
        <v>38</v>
      </c>
      <c r="M97" s="78" t="s">
        <v>810</v>
      </c>
      <c r="N97" s="55"/>
      <c r="O97" s="76" t="s">
        <v>811</v>
      </c>
      <c r="P97" s="9" t="s">
        <v>812</v>
      </c>
      <c r="Q97" s="76" t="s">
        <v>813</v>
      </c>
      <c r="R97" s="76" t="s">
        <v>814</v>
      </c>
      <c r="S97" s="9" t="s">
        <v>815</v>
      </c>
      <c r="U97" s="3" t="s">
        <v>306</v>
      </c>
      <c r="V97" s="3" t="s">
        <v>816</v>
      </c>
      <c r="W97" s="3" t="s">
        <v>42</v>
      </c>
      <c r="Y97" s="32"/>
      <c r="Z97" s="3"/>
      <c r="AA97" s="53" t="s">
        <v>43</v>
      </c>
      <c r="AB97" s="3"/>
      <c r="AC97" s="53" t="s">
        <v>53</v>
      </c>
      <c r="AD97" s="20">
        <v>45913</v>
      </c>
      <c r="AE97" s="24" t="s">
        <v>621</v>
      </c>
      <c r="AF97" s="19"/>
      <c r="AG97" s="19" t="s">
        <v>46</v>
      </c>
    </row>
    <row r="98" spans="1:33" ht="83.25" customHeight="1">
      <c r="A98" s="22">
        <v>116</v>
      </c>
      <c r="B98" s="22"/>
      <c r="C98" s="60">
        <v>45897.447129629603</v>
      </c>
      <c r="D98" s="23">
        <v>45897.450092592597</v>
      </c>
      <c r="E98" s="23">
        <f>DATE(YEAR(OfficeForms.Table[[#This Row],[Completion time]]), MONTH(OfficeForms.Table[[#This Row],[Completion time]]), DAY(OfficeForms.Table[[#This Row],[Completion time]]))</f>
        <v>45897</v>
      </c>
      <c r="F98" s="32" t="s">
        <v>305</v>
      </c>
      <c r="G98" s="3" t="s">
        <v>306</v>
      </c>
      <c r="H98" s="3" t="s">
        <v>817</v>
      </c>
      <c r="I98" s="3" t="s">
        <v>818</v>
      </c>
      <c r="J98" s="3" t="s">
        <v>819</v>
      </c>
      <c r="K98" s="21" t="s">
        <v>809</v>
      </c>
      <c r="L98" s="3" t="s">
        <v>38</v>
      </c>
      <c r="M98" s="3" t="s">
        <v>820</v>
      </c>
      <c r="N98" s="55" t="s">
        <v>821</v>
      </c>
      <c r="O98" s="76" t="s">
        <v>822</v>
      </c>
      <c r="P98" s="9" t="s">
        <v>812</v>
      </c>
      <c r="Q98" s="76" t="s">
        <v>823</v>
      </c>
      <c r="R98" s="76" t="s">
        <v>824</v>
      </c>
      <c r="S98" s="9" t="s">
        <v>825</v>
      </c>
      <c r="U98" s="3" t="s">
        <v>306</v>
      </c>
      <c r="V98" s="9" t="s">
        <v>328</v>
      </c>
      <c r="W98" s="3" t="s">
        <v>42</v>
      </c>
      <c r="Y98" s="32"/>
      <c r="Z98" s="3"/>
      <c r="AA98" s="53" t="s">
        <v>43</v>
      </c>
      <c r="AB98" s="3"/>
      <c r="AC98" s="53" t="s">
        <v>53</v>
      </c>
      <c r="AD98" s="20">
        <v>45897</v>
      </c>
      <c r="AE98" s="24" t="s">
        <v>621</v>
      </c>
      <c r="AF98" s="19"/>
      <c r="AG98" s="19" t="s">
        <v>46</v>
      </c>
    </row>
    <row r="99" spans="1:33" ht="83.25" customHeight="1">
      <c r="A99" s="22">
        <v>115</v>
      </c>
      <c r="B99" s="22"/>
      <c r="C99" s="60">
        <v>45897.197442129604</v>
      </c>
      <c r="D99" s="23">
        <v>45897.206354166701</v>
      </c>
      <c r="E99" s="23">
        <v>45898</v>
      </c>
      <c r="F99" s="33" t="s">
        <v>826</v>
      </c>
      <c r="G99" s="3" t="s">
        <v>827</v>
      </c>
      <c r="H99" s="3" t="s">
        <v>828</v>
      </c>
      <c r="I99" s="3" t="s">
        <v>829</v>
      </c>
      <c r="J99" s="3" t="s">
        <v>830</v>
      </c>
      <c r="K99" s="21" t="s">
        <v>831</v>
      </c>
      <c r="L99" s="3" t="s">
        <v>38</v>
      </c>
      <c r="M99" s="3" t="s">
        <v>832</v>
      </c>
      <c r="N99" s="79"/>
      <c r="O99" s="76" t="s">
        <v>833</v>
      </c>
      <c r="P99" s="9" t="s">
        <v>834</v>
      </c>
      <c r="Q99" s="76" t="s">
        <v>835</v>
      </c>
      <c r="R99" s="76" t="s">
        <v>836</v>
      </c>
      <c r="S99" s="9" t="s">
        <v>837</v>
      </c>
      <c r="U99" s="3" t="s">
        <v>838</v>
      </c>
      <c r="V99" s="9" t="s">
        <v>839</v>
      </c>
      <c r="W99" s="3" t="s">
        <v>152</v>
      </c>
      <c r="X99" s="17">
        <v>46006</v>
      </c>
      <c r="Y99" s="33"/>
      <c r="Z99" s="3"/>
      <c r="AA99" s="53" t="s">
        <v>43</v>
      </c>
      <c r="AB99" s="3"/>
      <c r="AC99" s="53" t="s">
        <v>53</v>
      </c>
      <c r="AD99" s="20">
        <v>45898</v>
      </c>
      <c r="AE99" s="24" t="s">
        <v>621</v>
      </c>
      <c r="AF99" s="19"/>
      <c r="AG99" s="19" t="s">
        <v>46</v>
      </c>
    </row>
    <row r="100" spans="1:33" ht="83.25" customHeight="1">
      <c r="A100" s="22">
        <v>209</v>
      </c>
      <c r="B100" s="22"/>
      <c r="C100" s="60">
        <v>46078.537812499999</v>
      </c>
      <c r="D100" s="23">
        <v>46078.558668981503</v>
      </c>
      <c r="E100" s="20">
        <f>DATE(YEAR(OfficeForms.Table[[#This Row],[Completion time]]), MONTH(OfficeForms.Table[[#This Row],[Completion time]]), DAY(OfficeForms.Table[[#This Row],[Completion time]]))</f>
        <v>46078</v>
      </c>
      <c r="F100" s="32" t="s">
        <v>241</v>
      </c>
      <c r="G100" s="3" t="s">
        <v>242</v>
      </c>
      <c r="H100" s="3" t="s">
        <v>840</v>
      </c>
      <c r="I100" s="3" t="s">
        <v>841</v>
      </c>
      <c r="J100" s="3" t="s">
        <v>842</v>
      </c>
      <c r="K100" s="21" t="s">
        <v>843</v>
      </c>
      <c r="L100" s="3" t="s">
        <v>38</v>
      </c>
      <c r="M100" s="88" t="s">
        <v>844</v>
      </c>
      <c r="N100" s="55"/>
      <c r="O100" s="76" t="s">
        <v>737</v>
      </c>
      <c r="P100" s="9" t="s">
        <v>268</v>
      </c>
      <c r="Q100" s="76" t="s">
        <v>845</v>
      </c>
      <c r="R100" s="76" t="s">
        <v>846</v>
      </c>
      <c r="S100" s="9" t="s">
        <v>847</v>
      </c>
      <c r="T100" s="9" t="s">
        <v>848</v>
      </c>
      <c r="U100" s="3" t="s">
        <v>849</v>
      </c>
      <c r="V100" s="9" t="s">
        <v>151</v>
      </c>
      <c r="W100" s="3" t="s">
        <v>119</v>
      </c>
      <c r="Y100" s="32"/>
      <c r="Z100" s="3"/>
      <c r="AA100" s="53"/>
      <c r="AB100" s="32" t="s">
        <v>850</v>
      </c>
      <c r="AC100" s="53"/>
      <c r="AD100" s="20">
        <v>46078</v>
      </c>
      <c r="AE100" s="24" t="s">
        <v>621</v>
      </c>
      <c r="AF100" s="19"/>
      <c r="AG100" s="19" t="s">
        <v>71</v>
      </c>
    </row>
    <row r="101" spans="1:33" ht="83.25" customHeight="1">
      <c r="A101" s="22">
        <v>218</v>
      </c>
      <c r="B101" s="22"/>
      <c r="C101" s="60">
        <v>46092.716840277797</v>
      </c>
      <c r="D101" s="23">
        <v>46092.7366203704</v>
      </c>
      <c r="E101" s="20">
        <f>DATE(YEAR(OfficeForms.Table[[#This Row],[Completion time]]), MONTH(OfficeForms.Table[[#This Row],[Completion time]]), DAY(OfficeForms.Table[[#This Row],[Completion time]]))</f>
        <v>46092</v>
      </c>
      <c r="F101" s="32" t="s">
        <v>541</v>
      </c>
      <c r="G101" s="3" t="s">
        <v>542</v>
      </c>
      <c r="H101" s="3" t="s">
        <v>851</v>
      </c>
      <c r="I101" s="3" t="s">
        <v>852</v>
      </c>
      <c r="J101" s="3" t="s">
        <v>853</v>
      </c>
      <c r="K101" s="21" t="s">
        <v>854</v>
      </c>
      <c r="L101" s="3" t="s">
        <v>38</v>
      </c>
      <c r="M101" s="88" t="s">
        <v>855</v>
      </c>
      <c r="N101" s="55"/>
      <c r="O101" s="76" t="s">
        <v>833</v>
      </c>
      <c r="P101" s="9" t="s">
        <v>40</v>
      </c>
      <c r="Q101" s="76" t="s">
        <v>856</v>
      </c>
      <c r="R101" s="76" t="s">
        <v>96</v>
      </c>
      <c r="S101" s="9" t="s">
        <v>549</v>
      </c>
      <c r="T101" s="9" t="s">
        <v>96</v>
      </c>
      <c r="U101" s="3" t="s">
        <v>857</v>
      </c>
      <c r="V101" s="9" t="s">
        <v>858</v>
      </c>
      <c r="W101" s="3" t="s">
        <v>119</v>
      </c>
      <c r="Y101" s="32"/>
      <c r="Z101" s="3"/>
      <c r="AA101" s="53"/>
      <c r="AB101" s="32"/>
      <c r="AC101" s="53"/>
      <c r="AD101" s="20">
        <v>46097</v>
      </c>
      <c r="AE101" s="24" t="s">
        <v>621</v>
      </c>
      <c r="AF101" s="19"/>
      <c r="AG101" s="19" t="s">
        <v>646</v>
      </c>
    </row>
    <row r="102" spans="1:33" ht="83.25" customHeight="1">
      <c r="A102" s="18">
        <v>106</v>
      </c>
      <c r="B102" s="18"/>
      <c r="C102" s="62">
        <v>45883.006747685198</v>
      </c>
      <c r="D102" s="23">
        <v>45883.025046296301</v>
      </c>
      <c r="E102" s="23">
        <v>45883</v>
      </c>
      <c r="F102" s="7" t="s">
        <v>241</v>
      </c>
      <c r="G102" s="7" t="s">
        <v>242</v>
      </c>
      <c r="H102" s="7" t="s">
        <v>859</v>
      </c>
      <c r="I102" s="7" t="s">
        <v>860</v>
      </c>
      <c r="J102" s="7" t="s">
        <v>861</v>
      </c>
      <c r="K102" s="21" t="s">
        <v>862</v>
      </c>
      <c r="L102" s="3" t="s">
        <v>206</v>
      </c>
      <c r="M102" s="3" t="s">
        <v>863</v>
      </c>
      <c r="N102" s="55" t="s">
        <v>864</v>
      </c>
      <c r="O102" s="74" t="s">
        <v>700</v>
      </c>
      <c r="P102" s="8" t="s">
        <v>268</v>
      </c>
      <c r="Q102" s="74" t="s">
        <v>865</v>
      </c>
      <c r="R102" s="74" t="s">
        <v>866</v>
      </c>
      <c r="S102" s="8" t="s">
        <v>372</v>
      </c>
      <c r="T102" s="19"/>
      <c r="U102" s="7" t="s">
        <v>487</v>
      </c>
      <c r="V102" s="7" t="s">
        <v>867</v>
      </c>
      <c r="W102" s="7" t="s">
        <v>119</v>
      </c>
      <c r="X102" s="23"/>
      <c r="Y102" s="25"/>
      <c r="Z102" s="7"/>
      <c r="AA102" s="53" t="s">
        <v>43</v>
      </c>
      <c r="AB102" s="3"/>
      <c r="AC102" s="53" t="s">
        <v>130</v>
      </c>
      <c r="AD102" s="20">
        <v>45889</v>
      </c>
      <c r="AE102" s="24" t="s">
        <v>621</v>
      </c>
      <c r="AF102" s="19"/>
      <c r="AG102" s="19" t="s">
        <v>71</v>
      </c>
    </row>
    <row r="103" spans="1:33" ht="83.25" customHeight="1">
      <c r="A103" s="18">
        <v>74</v>
      </c>
      <c r="B103" s="18"/>
      <c r="C103" s="62">
        <v>45855.769259259301</v>
      </c>
      <c r="D103" s="23">
        <v>45855.778726851902</v>
      </c>
      <c r="E103" s="23">
        <v>45856</v>
      </c>
      <c r="F103" s="7" t="s">
        <v>241</v>
      </c>
      <c r="G103" s="7" t="s">
        <v>242</v>
      </c>
      <c r="H103" s="7" t="s">
        <v>868</v>
      </c>
      <c r="I103" s="7" t="s">
        <v>869</v>
      </c>
      <c r="J103" s="7" t="s">
        <v>870</v>
      </c>
      <c r="K103" s="21" t="s">
        <v>871</v>
      </c>
      <c r="L103" s="7" t="s">
        <v>38</v>
      </c>
      <c r="M103" s="91" t="s">
        <v>872</v>
      </c>
      <c r="N103" s="55"/>
      <c r="O103" s="19">
        <v>2000</v>
      </c>
      <c r="P103" s="7" t="s">
        <v>268</v>
      </c>
      <c r="Q103" s="19">
        <v>2.8</v>
      </c>
      <c r="R103" s="19">
        <v>3000000</v>
      </c>
      <c r="S103" s="8" t="s">
        <v>372</v>
      </c>
      <c r="T103" s="19"/>
      <c r="U103" s="7" t="s">
        <v>487</v>
      </c>
      <c r="V103" s="7" t="s">
        <v>151</v>
      </c>
      <c r="W103" s="7" t="s">
        <v>119</v>
      </c>
      <c r="X103" s="23"/>
      <c r="Y103" s="25"/>
      <c r="Z103" s="7"/>
      <c r="AA103" s="53" t="s">
        <v>356</v>
      </c>
      <c r="AB103" s="32" t="s">
        <v>873</v>
      </c>
      <c r="AC103" s="53" t="s">
        <v>44</v>
      </c>
      <c r="AD103" s="20">
        <v>45865</v>
      </c>
      <c r="AE103" s="16" t="s">
        <v>621</v>
      </c>
      <c r="AF103" s="19"/>
      <c r="AG103" s="19" t="s">
        <v>71</v>
      </c>
    </row>
    <row r="104" spans="1:33" ht="83.25" customHeight="1">
      <c r="A104" s="18">
        <v>97</v>
      </c>
      <c r="B104" s="18"/>
      <c r="C104" s="62">
        <v>45874.726527777799</v>
      </c>
      <c r="D104" s="23">
        <v>45874.731620370403</v>
      </c>
      <c r="E104" s="23">
        <v>45875</v>
      </c>
      <c r="F104" s="7" t="s">
        <v>874</v>
      </c>
      <c r="G104" s="7" t="s">
        <v>875</v>
      </c>
      <c r="H104" s="7" t="s">
        <v>876</v>
      </c>
      <c r="I104" s="7" t="s">
        <v>877</v>
      </c>
      <c r="J104" s="7" t="s">
        <v>878</v>
      </c>
      <c r="K104" s="21" t="s">
        <v>362</v>
      </c>
      <c r="L104" s="64" t="s">
        <v>346</v>
      </c>
      <c r="M104" s="7" t="s">
        <v>879</v>
      </c>
      <c r="N104" s="55"/>
      <c r="O104" s="74" t="s">
        <v>880</v>
      </c>
      <c r="P104" s="8" t="s">
        <v>96</v>
      </c>
      <c r="Q104" s="74" t="s">
        <v>117</v>
      </c>
      <c r="R104" s="74" t="s">
        <v>117</v>
      </c>
      <c r="S104" s="8" t="s">
        <v>847</v>
      </c>
      <c r="T104" s="19"/>
      <c r="U104" s="7" t="s">
        <v>875</v>
      </c>
      <c r="V104" s="7" t="s">
        <v>96</v>
      </c>
      <c r="W104" s="7" t="s">
        <v>119</v>
      </c>
      <c r="X104" s="23"/>
      <c r="Y104" s="25"/>
      <c r="Z104" s="7"/>
      <c r="AA104" s="7"/>
      <c r="AB104" s="3"/>
      <c r="AC104" s="53" t="s">
        <v>130</v>
      </c>
      <c r="AD104" s="20"/>
      <c r="AE104" s="16" t="s">
        <v>45</v>
      </c>
      <c r="AF104" s="19"/>
      <c r="AG104" s="19" t="s">
        <v>71</v>
      </c>
    </row>
    <row r="105" spans="1:33" ht="83.25" customHeight="1">
      <c r="A105" s="18">
        <v>81</v>
      </c>
      <c r="B105" s="18"/>
      <c r="C105" s="62">
        <v>45867.7871759259</v>
      </c>
      <c r="D105" s="23">
        <v>45867.788483796299</v>
      </c>
      <c r="E105" s="23">
        <f>DATE(YEAR(OfficeForms.Table[[#This Row],[Completion time]]), MONTH(OfficeForms.Table[[#This Row],[Completion time]]), DAY(OfficeForms.Table[[#This Row],[Completion time]]))</f>
        <v>45867</v>
      </c>
      <c r="F105" s="7" t="s">
        <v>241</v>
      </c>
      <c r="G105" s="7" t="s">
        <v>242</v>
      </c>
      <c r="H105" s="7" t="s">
        <v>881</v>
      </c>
      <c r="I105" s="7" t="s">
        <v>882</v>
      </c>
      <c r="J105" s="7" t="s">
        <v>883</v>
      </c>
      <c r="K105" s="21" t="s">
        <v>683</v>
      </c>
      <c r="L105" s="7" t="s">
        <v>206</v>
      </c>
      <c r="M105" s="7" t="s">
        <v>884</v>
      </c>
      <c r="N105" s="55"/>
      <c r="O105" s="74" t="s">
        <v>885</v>
      </c>
      <c r="P105" s="8" t="s">
        <v>268</v>
      </c>
      <c r="Q105" s="74" t="s">
        <v>886</v>
      </c>
      <c r="R105" s="74" t="s">
        <v>887</v>
      </c>
      <c r="S105" s="8" t="s">
        <v>847</v>
      </c>
      <c r="T105" s="19"/>
      <c r="U105" s="7" t="s">
        <v>888</v>
      </c>
      <c r="V105" s="7" t="s">
        <v>509</v>
      </c>
      <c r="W105" s="7" t="s">
        <v>119</v>
      </c>
      <c r="X105" s="23"/>
      <c r="Y105" s="25"/>
      <c r="Z105" s="7"/>
      <c r="AA105" s="53" t="s">
        <v>43</v>
      </c>
      <c r="AB105" s="3"/>
      <c r="AC105" s="53" t="s">
        <v>416</v>
      </c>
      <c r="AD105" s="20">
        <v>45868</v>
      </c>
      <c r="AE105" s="16" t="s">
        <v>621</v>
      </c>
      <c r="AF105" s="19"/>
      <c r="AG105" s="19" t="s">
        <v>71</v>
      </c>
    </row>
    <row r="106" spans="1:33" ht="83.25" customHeight="1">
      <c r="A106" s="18">
        <v>99</v>
      </c>
      <c r="B106" s="18"/>
      <c r="C106" s="62">
        <v>45876.520902777796</v>
      </c>
      <c r="D106" s="23">
        <v>45876.524710648097</v>
      </c>
      <c r="E106" s="23">
        <f>DATE(YEAR(OfficeForms.Table[[#This Row],[Completion time]]), MONTH(OfficeForms.Table[[#This Row],[Completion time]]), DAY(OfficeForms.Table[[#This Row],[Completion time]]))</f>
        <v>45876</v>
      </c>
      <c r="F106" s="7" t="s">
        <v>215</v>
      </c>
      <c r="G106" s="7" t="s">
        <v>216</v>
      </c>
      <c r="H106" s="7" t="s">
        <v>889</v>
      </c>
      <c r="I106" s="7" t="s">
        <v>890</v>
      </c>
      <c r="J106" s="7" t="s">
        <v>891</v>
      </c>
      <c r="K106" s="21" t="s">
        <v>318</v>
      </c>
      <c r="L106" s="7" t="s">
        <v>38</v>
      </c>
      <c r="M106" s="7" t="s">
        <v>892</v>
      </c>
      <c r="N106" s="55"/>
      <c r="O106" s="74" t="s">
        <v>771</v>
      </c>
      <c r="P106" s="8" t="s">
        <v>893</v>
      </c>
      <c r="Q106" s="74" t="s">
        <v>894</v>
      </c>
      <c r="R106" s="74" t="s">
        <v>895</v>
      </c>
      <c r="S106" s="8" t="s">
        <v>96</v>
      </c>
      <c r="T106" s="19"/>
      <c r="U106" s="7" t="s">
        <v>216</v>
      </c>
      <c r="V106" s="7" t="s">
        <v>896</v>
      </c>
      <c r="W106" s="7" t="s">
        <v>152</v>
      </c>
      <c r="X106" s="23">
        <v>45880</v>
      </c>
      <c r="Y106" s="25"/>
      <c r="Z106" s="7"/>
      <c r="AA106" s="7" t="s">
        <v>43</v>
      </c>
      <c r="AB106" s="3"/>
      <c r="AC106" s="53" t="s">
        <v>44</v>
      </c>
      <c r="AD106" s="20">
        <v>45876</v>
      </c>
      <c r="AE106" s="16" t="s">
        <v>45</v>
      </c>
      <c r="AF106" s="19"/>
      <c r="AG106" s="19" t="s">
        <v>46</v>
      </c>
    </row>
    <row r="107" spans="1:33" ht="83.25" customHeight="1">
      <c r="A107" s="18">
        <v>123</v>
      </c>
      <c r="B107" s="18"/>
      <c r="C107" s="62">
        <v>45903.928796296299</v>
      </c>
      <c r="D107" s="23">
        <v>45903.932048611103</v>
      </c>
      <c r="E107" s="23">
        <f>DATE(YEAR(OfficeForms.Table[[#This Row],[Completion time]]), MONTH(OfficeForms.Table[[#This Row],[Completion time]]), DAY(OfficeForms.Table[[#This Row],[Completion time]]))</f>
        <v>45903</v>
      </c>
      <c r="F107" s="25" t="s">
        <v>241</v>
      </c>
      <c r="G107" s="7" t="s">
        <v>242</v>
      </c>
      <c r="H107" s="7" t="s">
        <v>897</v>
      </c>
      <c r="I107" s="7" t="s">
        <v>898</v>
      </c>
      <c r="J107" s="7" t="s">
        <v>898</v>
      </c>
      <c r="K107" s="21" t="s">
        <v>871</v>
      </c>
      <c r="L107" s="7" t="s">
        <v>206</v>
      </c>
      <c r="M107" s="7" t="s">
        <v>899</v>
      </c>
      <c r="N107" s="55" t="s">
        <v>900</v>
      </c>
      <c r="O107" s="74" t="s">
        <v>700</v>
      </c>
      <c r="P107" s="8" t="s">
        <v>268</v>
      </c>
      <c r="Q107" s="74" t="s">
        <v>901</v>
      </c>
      <c r="R107" s="74" t="s">
        <v>902</v>
      </c>
      <c r="S107" s="8" t="s">
        <v>372</v>
      </c>
      <c r="T107" s="19"/>
      <c r="U107" s="7" t="s">
        <v>487</v>
      </c>
      <c r="V107" s="8" t="s">
        <v>903</v>
      </c>
      <c r="W107" s="7" t="s">
        <v>119</v>
      </c>
      <c r="X107" s="23"/>
      <c r="Y107" s="25"/>
      <c r="Z107" s="7"/>
      <c r="AA107" s="53" t="s">
        <v>43</v>
      </c>
      <c r="AB107" s="3"/>
      <c r="AC107" s="53" t="s">
        <v>130</v>
      </c>
      <c r="AD107" s="20">
        <v>45904</v>
      </c>
      <c r="AE107" s="16" t="s">
        <v>621</v>
      </c>
      <c r="AF107" s="19"/>
      <c r="AG107" s="19" t="s">
        <v>46</v>
      </c>
    </row>
    <row r="108" spans="1:33" ht="83.25" customHeight="1">
      <c r="A108" s="18">
        <v>147</v>
      </c>
      <c r="B108" s="18"/>
      <c r="C108" s="62">
        <v>45937.698692129597</v>
      </c>
      <c r="D108" s="23">
        <v>45937.706296296303</v>
      </c>
      <c r="E108" s="23">
        <v>45938</v>
      </c>
      <c r="F108" s="25" t="s">
        <v>241</v>
      </c>
      <c r="G108" s="7" t="s">
        <v>242</v>
      </c>
      <c r="H108" s="7" t="s">
        <v>904</v>
      </c>
      <c r="I108" s="7" t="s">
        <v>905</v>
      </c>
      <c r="J108" s="7" t="s">
        <v>906</v>
      </c>
      <c r="K108" s="21" t="s">
        <v>871</v>
      </c>
      <c r="L108" s="7" t="s">
        <v>38</v>
      </c>
      <c r="M108" s="7" t="s">
        <v>907</v>
      </c>
      <c r="N108" s="55"/>
      <c r="O108" s="74" t="s">
        <v>908</v>
      </c>
      <c r="P108" s="8" t="s">
        <v>834</v>
      </c>
      <c r="Q108" s="74" t="s">
        <v>901</v>
      </c>
      <c r="R108" s="74" t="s">
        <v>80</v>
      </c>
      <c r="S108" s="8" t="s">
        <v>372</v>
      </c>
      <c r="T108" s="19"/>
      <c r="U108" s="7" t="s">
        <v>487</v>
      </c>
      <c r="V108" s="8" t="s">
        <v>909</v>
      </c>
      <c r="W108" s="7" t="s">
        <v>119</v>
      </c>
      <c r="X108" s="23"/>
      <c r="Y108" s="25"/>
      <c r="Z108" s="7"/>
      <c r="AA108" s="53" t="s">
        <v>43</v>
      </c>
      <c r="AB108" s="3"/>
      <c r="AC108" s="53" t="s">
        <v>416</v>
      </c>
      <c r="AD108" s="20">
        <v>45939</v>
      </c>
      <c r="AE108" s="16" t="s">
        <v>621</v>
      </c>
      <c r="AF108" s="19"/>
      <c r="AG108" s="19" t="s">
        <v>910</v>
      </c>
    </row>
    <row r="109" spans="1:33" ht="83.25" customHeight="1">
      <c r="A109" s="22">
        <v>132</v>
      </c>
      <c r="B109" s="22"/>
      <c r="C109" s="60">
        <v>45922.479560185202</v>
      </c>
      <c r="D109" s="23">
        <v>45922.482777777797</v>
      </c>
      <c r="E109" s="23">
        <v>45922</v>
      </c>
      <c r="F109" s="32" t="s">
        <v>305</v>
      </c>
      <c r="G109" s="3" t="s">
        <v>306</v>
      </c>
      <c r="H109" s="7" t="s">
        <v>911</v>
      </c>
      <c r="I109" s="3" t="s">
        <v>912</v>
      </c>
      <c r="J109" s="3" t="s">
        <v>913</v>
      </c>
      <c r="K109" s="21" t="s">
        <v>332</v>
      </c>
      <c r="L109" s="3" t="s">
        <v>38</v>
      </c>
      <c r="M109" s="3" t="s">
        <v>914</v>
      </c>
      <c r="N109" s="55"/>
      <c r="O109" s="76" t="s">
        <v>915</v>
      </c>
      <c r="P109" s="9" t="s">
        <v>161</v>
      </c>
      <c r="Q109" s="76" t="s">
        <v>916</v>
      </c>
      <c r="R109" s="76" t="s">
        <v>917</v>
      </c>
      <c r="S109" s="9" t="s">
        <v>534</v>
      </c>
      <c r="U109" s="3" t="s">
        <v>306</v>
      </c>
      <c r="V109" s="9" t="s">
        <v>328</v>
      </c>
      <c r="W109" s="3" t="s">
        <v>42</v>
      </c>
      <c r="Y109" s="32"/>
      <c r="Z109" s="3"/>
      <c r="AA109" s="53" t="s">
        <v>43</v>
      </c>
      <c r="AB109" s="3"/>
      <c r="AC109" s="53" t="s">
        <v>53</v>
      </c>
      <c r="AD109" s="1">
        <v>45923</v>
      </c>
      <c r="AE109" s="24" t="s">
        <v>621</v>
      </c>
      <c r="AF109" s="19"/>
      <c r="AG109" s="19" t="s">
        <v>910</v>
      </c>
    </row>
    <row r="110" spans="1:33" ht="83.25" customHeight="1">
      <c r="A110" s="18">
        <v>82</v>
      </c>
      <c r="B110" s="18"/>
      <c r="C110" s="62">
        <v>45868.487893518497</v>
      </c>
      <c r="D110" s="23">
        <v>45868.489652777796</v>
      </c>
      <c r="E110" s="23">
        <v>45868</v>
      </c>
      <c r="F110" s="7" t="s">
        <v>186</v>
      </c>
      <c r="G110" s="7" t="s">
        <v>47</v>
      </c>
      <c r="H110" s="7" t="s">
        <v>918</v>
      </c>
      <c r="I110" s="7" t="s">
        <v>919</v>
      </c>
      <c r="J110" s="7" t="s">
        <v>920</v>
      </c>
      <c r="K110" s="21" t="s">
        <v>921</v>
      </c>
      <c r="L110" s="7" t="s">
        <v>38</v>
      </c>
      <c r="M110" s="7" t="s">
        <v>922</v>
      </c>
      <c r="N110" s="55"/>
      <c r="O110" s="74" t="s">
        <v>923</v>
      </c>
      <c r="P110" s="8" t="s">
        <v>40</v>
      </c>
      <c r="Q110" s="74" t="s">
        <v>924</v>
      </c>
      <c r="R110" s="74" t="s">
        <v>96</v>
      </c>
      <c r="S110" s="8" t="s">
        <v>925</v>
      </c>
      <c r="T110" s="19"/>
      <c r="U110" s="7" t="s">
        <v>47</v>
      </c>
      <c r="V110" s="7" t="s">
        <v>646</v>
      </c>
      <c r="W110" s="7" t="s">
        <v>42</v>
      </c>
      <c r="X110" s="23"/>
      <c r="Y110" s="25"/>
      <c r="Z110" s="7"/>
      <c r="AA110" s="53" t="s">
        <v>43</v>
      </c>
      <c r="AB110" s="3"/>
      <c r="AC110" s="53" t="s">
        <v>416</v>
      </c>
      <c r="AD110" s="20">
        <v>45868</v>
      </c>
      <c r="AE110" s="16" t="s">
        <v>621</v>
      </c>
      <c r="AF110" s="19"/>
      <c r="AG110" s="19" t="s">
        <v>46</v>
      </c>
    </row>
    <row r="111" spans="1:33" ht="108.75" customHeight="1">
      <c r="A111" s="18">
        <v>176</v>
      </c>
      <c r="B111" s="18"/>
      <c r="C111" s="62">
        <v>45993.400347222203</v>
      </c>
      <c r="D111" s="23">
        <v>45993.403645833299</v>
      </c>
      <c r="E111" s="20">
        <f>DATE(YEAR(OfficeForms.Table[[#This Row],[Completion time]]), MONTH(OfficeForms.Table[[#This Row],[Completion time]]), DAY(OfficeForms.Table[[#This Row],[Completion time]]))</f>
        <v>45993</v>
      </c>
      <c r="F111" s="25" t="s">
        <v>468</v>
      </c>
      <c r="G111" s="7" t="s">
        <v>469</v>
      </c>
      <c r="H111" s="7" t="s">
        <v>926</v>
      </c>
      <c r="I111" s="7" t="s">
        <v>927</v>
      </c>
      <c r="J111" s="7" t="s">
        <v>927</v>
      </c>
      <c r="K111" s="21" t="s">
        <v>928</v>
      </c>
      <c r="L111" s="7" t="s">
        <v>38</v>
      </c>
      <c r="M111" s="7" t="s">
        <v>929</v>
      </c>
      <c r="N111" s="55"/>
      <c r="O111" s="74" t="s">
        <v>930</v>
      </c>
      <c r="P111" s="8" t="s">
        <v>466</v>
      </c>
      <c r="Q111" s="74" t="s">
        <v>96</v>
      </c>
      <c r="R111" s="74" t="s">
        <v>931</v>
      </c>
      <c r="S111" s="8" t="s">
        <v>932</v>
      </c>
      <c r="T111" s="8" t="s">
        <v>96</v>
      </c>
      <c r="U111" s="7" t="s">
        <v>933</v>
      </c>
      <c r="V111" s="8" t="s">
        <v>151</v>
      </c>
      <c r="W111" s="7" t="s">
        <v>119</v>
      </c>
      <c r="X111" s="23"/>
      <c r="Y111" s="25"/>
      <c r="Z111" s="7"/>
      <c r="AA111" s="53"/>
      <c r="AB111" s="25"/>
      <c r="AC111" s="53" t="s">
        <v>416</v>
      </c>
      <c r="AD111" s="20">
        <v>45993</v>
      </c>
      <c r="AE111" s="16" t="s">
        <v>621</v>
      </c>
      <c r="AF111" s="19"/>
      <c r="AG111" s="19" t="s">
        <v>934</v>
      </c>
    </row>
    <row r="112" spans="1:33" ht="83.25" customHeight="1">
      <c r="A112" s="18">
        <v>128</v>
      </c>
      <c r="B112" s="18"/>
      <c r="C112" s="62">
        <v>45910.924432870401</v>
      </c>
      <c r="D112" s="23">
        <v>45913.105104166701</v>
      </c>
      <c r="E112" s="82">
        <v>45915</v>
      </c>
      <c r="F112" s="25" t="s">
        <v>241</v>
      </c>
      <c r="G112" s="7" t="s">
        <v>242</v>
      </c>
      <c r="H112" s="7" t="s">
        <v>935</v>
      </c>
      <c r="I112" s="7" t="s">
        <v>936</v>
      </c>
      <c r="J112" s="7" t="s">
        <v>937</v>
      </c>
      <c r="K112" s="21" t="s">
        <v>938</v>
      </c>
      <c r="L112" s="7" t="s">
        <v>206</v>
      </c>
      <c r="M112" s="7" t="s">
        <v>939</v>
      </c>
      <c r="N112" s="55"/>
      <c r="O112" s="74" t="s">
        <v>930</v>
      </c>
      <c r="P112" s="8" t="s">
        <v>466</v>
      </c>
      <c r="Q112" s="74" t="s">
        <v>940</v>
      </c>
      <c r="R112" s="74" t="s">
        <v>941</v>
      </c>
      <c r="S112" s="8" t="s">
        <v>486</v>
      </c>
      <c r="T112" s="19"/>
      <c r="U112" s="7" t="s">
        <v>242</v>
      </c>
      <c r="V112" s="8" t="s">
        <v>942</v>
      </c>
      <c r="W112" s="7" t="s">
        <v>119</v>
      </c>
      <c r="X112" s="23"/>
      <c r="Y112" s="25"/>
      <c r="Z112" s="7"/>
      <c r="AA112" s="53" t="s">
        <v>43</v>
      </c>
      <c r="AB112" s="7"/>
      <c r="AC112" s="53" t="s">
        <v>416</v>
      </c>
      <c r="AD112" s="20">
        <v>45915</v>
      </c>
      <c r="AE112" s="16" t="s">
        <v>621</v>
      </c>
      <c r="AF112" s="70" t="s">
        <v>943</v>
      </c>
      <c r="AG112" s="19" t="s">
        <v>730</v>
      </c>
    </row>
    <row r="113" spans="1:33" ht="83.25" customHeight="1">
      <c r="A113" s="18">
        <v>172</v>
      </c>
      <c r="B113" s="18"/>
      <c r="C113" s="62">
        <v>45979.324583333299</v>
      </c>
      <c r="D113" s="23">
        <v>45979.326111111099</v>
      </c>
      <c r="E113" s="20">
        <f>DATE(YEAR(OfficeForms.Table[[#This Row],[Completion time]]), MONTH(OfficeForms.Table[[#This Row],[Completion time]]), DAY(OfficeForms.Table[[#This Row],[Completion time]]))</f>
        <v>45979</v>
      </c>
      <c r="F113" s="25" t="s">
        <v>468</v>
      </c>
      <c r="G113" s="7" t="s">
        <v>469</v>
      </c>
      <c r="H113" s="7" t="s">
        <v>944</v>
      </c>
      <c r="I113" s="7" t="s">
        <v>945</v>
      </c>
      <c r="J113" s="7" t="s">
        <v>945</v>
      </c>
      <c r="K113" s="21" t="s">
        <v>938</v>
      </c>
      <c r="L113" s="7" t="s">
        <v>38</v>
      </c>
      <c r="M113" s="85" t="s">
        <v>946</v>
      </c>
      <c r="N113" s="55"/>
      <c r="O113" s="74" t="s">
        <v>947</v>
      </c>
      <c r="P113" s="8" t="s">
        <v>466</v>
      </c>
      <c r="Q113" s="74" t="s">
        <v>117</v>
      </c>
      <c r="R113" s="74" t="s">
        <v>948</v>
      </c>
      <c r="S113" s="8" t="s">
        <v>949</v>
      </c>
      <c r="T113" s="8" t="s">
        <v>96</v>
      </c>
      <c r="U113" s="7" t="s">
        <v>469</v>
      </c>
      <c r="V113" s="8" t="s">
        <v>950</v>
      </c>
      <c r="W113" s="7" t="s">
        <v>119</v>
      </c>
      <c r="X113" s="23"/>
      <c r="Y113" s="25"/>
      <c r="Z113" s="7"/>
      <c r="AA113" s="53"/>
      <c r="AB113" s="25"/>
      <c r="AC113" s="53" t="s">
        <v>416</v>
      </c>
      <c r="AD113" s="20">
        <v>46003</v>
      </c>
      <c r="AE113" s="16" t="s">
        <v>621</v>
      </c>
      <c r="AF113" s="19"/>
      <c r="AG113" s="19" t="s">
        <v>71</v>
      </c>
    </row>
    <row r="114" spans="1:33" ht="83.25" customHeight="1">
      <c r="A114" s="18">
        <v>96</v>
      </c>
      <c r="B114" s="18"/>
      <c r="C114" s="62">
        <v>45874.657627314802</v>
      </c>
      <c r="D114" s="23">
        <v>45874.668020833298</v>
      </c>
      <c r="E114" s="23">
        <v>45875</v>
      </c>
      <c r="F114" s="7" t="s">
        <v>215</v>
      </c>
      <c r="G114" s="7" t="s">
        <v>216</v>
      </c>
      <c r="H114" s="7" t="s">
        <v>951</v>
      </c>
      <c r="I114" s="7" t="s">
        <v>952</v>
      </c>
      <c r="J114" s="7" t="s">
        <v>953</v>
      </c>
      <c r="K114" s="21" t="s">
        <v>318</v>
      </c>
      <c r="L114" s="7" t="s">
        <v>38</v>
      </c>
      <c r="M114" s="90" t="s">
        <v>954</v>
      </c>
      <c r="N114" s="55"/>
      <c r="O114" s="74" t="s">
        <v>771</v>
      </c>
      <c r="P114" s="8" t="s">
        <v>893</v>
      </c>
      <c r="Q114" s="74" t="s">
        <v>894</v>
      </c>
      <c r="R114" s="74" t="s">
        <v>955</v>
      </c>
      <c r="S114" s="8" t="s">
        <v>96</v>
      </c>
      <c r="T114" s="19"/>
      <c r="U114" s="7" t="s">
        <v>216</v>
      </c>
      <c r="V114" s="7" t="s">
        <v>151</v>
      </c>
      <c r="W114" s="7" t="s">
        <v>152</v>
      </c>
      <c r="X114" s="23">
        <v>45889</v>
      </c>
      <c r="Y114" s="25"/>
      <c r="Z114" s="7"/>
      <c r="AA114" s="53" t="s">
        <v>43</v>
      </c>
      <c r="AB114" s="7"/>
      <c r="AC114" s="53" t="s">
        <v>416</v>
      </c>
      <c r="AD114" s="20">
        <v>45876</v>
      </c>
      <c r="AE114" s="16" t="s">
        <v>621</v>
      </c>
      <c r="AF114" s="19"/>
      <c r="AG114" s="19" t="s">
        <v>956</v>
      </c>
    </row>
    <row r="115" spans="1:33" ht="83.25" customHeight="1">
      <c r="A115" s="22">
        <v>140</v>
      </c>
      <c r="B115" s="22"/>
      <c r="C115" s="60">
        <v>45925.7264699074</v>
      </c>
      <c r="D115" s="23">
        <v>45925.727395833332</v>
      </c>
      <c r="E115" s="23">
        <v>45926</v>
      </c>
      <c r="F115" s="32" t="s">
        <v>957</v>
      </c>
      <c r="G115" s="3" t="s">
        <v>958</v>
      </c>
      <c r="H115" s="3" t="s">
        <v>959</v>
      </c>
      <c r="I115" s="3" t="s">
        <v>960</v>
      </c>
      <c r="J115" s="3" t="s">
        <v>961</v>
      </c>
      <c r="K115" s="21" t="s">
        <v>962</v>
      </c>
      <c r="L115" s="3" t="s">
        <v>38</v>
      </c>
      <c r="M115" s="3" t="s">
        <v>963</v>
      </c>
      <c r="N115" s="55"/>
      <c r="O115" s="76" t="s">
        <v>964</v>
      </c>
      <c r="P115" s="9" t="s">
        <v>40</v>
      </c>
      <c r="Q115" s="76" t="s">
        <v>96</v>
      </c>
      <c r="R115" s="76" t="s">
        <v>96</v>
      </c>
      <c r="S115" s="9" t="s">
        <v>965</v>
      </c>
      <c r="U115" s="3" t="s">
        <v>958</v>
      </c>
      <c r="V115" s="9" t="s">
        <v>966</v>
      </c>
      <c r="W115" s="3" t="s">
        <v>42</v>
      </c>
      <c r="Y115" s="32"/>
      <c r="Z115" s="3"/>
      <c r="AA115" s="4" t="s">
        <v>43</v>
      </c>
      <c r="AB115" s="3"/>
      <c r="AC115" s="53" t="s">
        <v>53</v>
      </c>
      <c r="AD115" s="1">
        <v>45926</v>
      </c>
      <c r="AE115" s="24" t="s">
        <v>621</v>
      </c>
      <c r="AF115" s="19"/>
      <c r="AG115" s="19" t="s">
        <v>46</v>
      </c>
    </row>
    <row r="116" spans="1:33" ht="83.25" customHeight="1">
      <c r="A116" s="18">
        <v>109</v>
      </c>
      <c r="B116" s="18"/>
      <c r="C116" s="62">
        <v>45887.583379629599</v>
      </c>
      <c r="D116" s="23">
        <v>45887.588113425903</v>
      </c>
      <c r="E116" s="23">
        <f>DATE(YEAR(OfficeForms.Table[[#This Row],[Completion time]]), MONTH(OfficeForms.Table[[#This Row],[Completion time]]), DAY(OfficeForms.Table[[#This Row],[Completion time]]))</f>
        <v>45887</v>
      </c>
      <c r="F116" s="7" t="s">
        <v>967</v>
      </c>
      <c r="G116" s="7" t="s">
        <v>968</v>
      </c>
      <c r="H116" s="7" t="s">
        <v>969</v>
      </c>
      <c r="I116" s="7" t="s">
        <v>970</v>
      </c>
      <c r="J116" s="7" t="s">
        <v>971</v>
      </c>
      <c r="K116" s="21" t="s">
        <v>972</v>
      </c>
      <c r="L116" s="7" t="s">
        <v>38</v>
      </c>
      <c r="M116" s="7" t="s">
        <v>973</v>
      </c>
      <c r="N116" s="55"/>
      <c r="O116" s="74" t="s">
        <v>974</v>
      </c>
      <c r="P116" s="8" t="s">
        <v>40</v>
      </c>
      <c r="Q116" s="74" t="s">
        <v>975</v>
      </c>
      <c r="R116" s="74" t="s">
        <v>975</v>
      </c>
      <c r="S116" s="8" t="s">
        <v>976</v>
      </c>
      <c r="T116" s="19"/>
      <c r="U116" s="7" t="s">
        <v>977</v>
      </c>
      <c r="V116" s="7" t="s">
        <v>978</v>
      </c>
      <c r="W116" s="7" t="s">
        <v>152</v>
      </c>
      <c r="X116" s="23">
        <v>45898</v>
      </c>
      <c r="Y116" s="25"/>
      <c r="Z116" s="7"/>
      <c r="AA116" s="53" t="s">
        <v>43</v>
      </c>
      <c r="AB116" s="7"/>
      <c r="AC116" s="53" t="s">
        <v>153</v>
      </c>
      <c r="AD116" s="20">
        <v>45918</v>
      </c>
      <c r="AE116" s="16" t="s">
        <v>45</v>
      </c>
      <c r="AF116" s="19" t="s">
        <v>979</v>
      </c>
      <c r="AG116" s="19" t="s">
        <v>46</v>
      </c>
    </row>
    <row r="117" spans="1:33" ht="83.25" customHeight="1">
      <c r="A117" s="18">
        <v>110</v>
      </c>
      <c r="B117" s="18"/>
      <c r="C117" s="62">
        <v>45889.408807870401</v>
      </c>
      <c r="D117" s="23">
        <v>45889.413321759297</v>
      </c>
      <c r="E117" s="23">
        <f>DATE(YEAR(OfficeForms.Table[[#This Row],[Completion time]]), MONTH(OfficeForms.Table[[#This Row],[Completion time]]), DAY(OfficeForms.Table[[#This Row],[Completion time]]))</f>
        <v>45889</v>
      </c>
      <c r="F117" s="7" t="s">
        <v>826</v>
      </c>
      <c r="G117" s="7" t="s">
        <v>827</v>
      </c>
      <c r="H117" s="7" t="s">
        <v>980</v>
      </c>
      <c r="I117" s="7" t="s">
        <v>981</v>
      </c>
      <c r="J117" s="7" t="s">
        <v>982</v>
      </c>
      <c r="K117" s="21" t="s">
        <v>983</v>
      </c>
      <c r="L117" s="7" t="s">
        <v>38</v>
      </c>
      <c r="M117" s="7" t="s">
        <v>984</v>
      </c>
      <c r="N117" s="55"/>
      <c r="O117" s="74" t="s">
        <v>985</v>
      </c>
      <c r="P117" s="8" t="s">
        <v>834</v>
      </c>
      <c r="Q117" s="74" t="s">
        <v>986</v>
      </c>
      <c r="R117" s="74" t="s">
        <v>987</v>
      </c>
      <c r="S117" s="8" t="s">
        <v>988</v>
      </c>
      <c r="T117" s="19"/>
      <c r="U117" s="7" t="s">
        <v>989</v>
      </c>
      <c r="V117" s="7" t="s">
        <v>990</v>
      </c>
      <c r="W117" s="7" t="s">
        <v>152</v>
      </c>
      <c r="X117" s="23">
        <v>46023</v>
      </c>
      <c r="Y117" s="25"/>
      <c r="Z117" s="7"/>
      <c r="AA117" s="53" t="s">
        <v>43</v>
      </c>
      <c r="AB117" s="7"/>
      <c r="AC117" s="53" t="s">
        <v>53</v>
      </c>
      <c r="AD117" s="20">
        <v>45896</v>
      </c>
      <c r="AE117" s="16" t="s">
        <v>45</v>
      </c>
      <c r="AF117" s="19"/>
      <c r="AG117" s="19" t="s">
        <v>46</v>
      </c>
    </row>
    <row r="118" spans="1:33" ht="83.25" customHeight="1">
      <c r="A118" s="18">
        <v>171</v>
      </c>
      <c r="B118" s="18"/>
      <c r="C118" s="62">
        <v>45978.670034722199</v>
      </c>
      <c r="D118" s="23">
        <v>45978.675833333298</v>
      </c>
      <c r="E118" s="20">
        <f>DATE(YEAR(OfficeForms.Table[[#This Row],[Completion time]]), MONTH(OfficeForms.Table[[#This Row],[Completion time]]), DAY(OfficeForms.Table[[#This Row],[Completion time]]))</f>
        <v>45978</v>
      </c>
      <c r="F118" s="25" t="s">
        <v>991</v>
      </c>
      <c r="G118" s="7" t="s">
        <v>992</v>
      </c>
      <c r="H118" s="7" t="s">
        <v>993</v>
      </c>
      <c r="I118" s="7" t="s">
        <v>994</v>
      </c>
      <c r="J118" s="7" t="s">
        <v>995</v>
      </c>
      <c r="K118" s="21" t="s">
        <v>996</v>
      </c>
      <c r="L118" s="7" t="s">
        <v>38</v>
      </c>
      <c r="M118" s="7" t="s">
        <v>997</v>
      </c>
      <c r="N118" s="55" t="s">
        <v>998</v>
      </c>
      <c r="O118" s="74" t="s">
        <v>999</v>
      </c>
      <c r="P118" s="8" t="s">
        <v>40</v>
      </c>
      <c r="Q118" s="74" t="s">
        <v>96</v>
      </c>
      <c r="R118" s="74" t="s">
        <v>999</v>
      </c>
      <c r="S118" s="8" t="s">
        <v>1000</v>
      </c>
      <c r="T118" s="8" t="s">
        <v>999</v>
      </c>
      <c r="U118" s="7" t="s">
        <v>1001</v>
      </c>
      <c r="V118" s="8" t="s">
        <v>151</v>
      </c>
      <c r="W118" s="7" t="s">
        <v>42</v>
      </c>
      <c r="X118" s="23"/>
      <c r="Y118" s="25"/>
      <c r="Z118" s="7"/>
      <c r="AA118" s="53"/>
      <c r="AB118" s="25"/>
      <c r="AC118" s="53" t="s">
        <v>53</v>
      </c>
      <c r="AD118" s="20">
        <v>45979</v>
      </c>
      <c r="AE118" s="16" t="s">
        <v>621</v>
      </c>
      <c r="AF118" s="19"/>
      <c r="AG118" s="19" t="s">
        <v>71</v>
      </c>
    </row>
    <row r="119" spans="1:33" ht="83.25" customHeight="1">
      <c r="A119" s="18">
        <v>112</v>
      </c>
      <c r="B119" s="18"/>
      <c r="C119" s="62">
        <v>45890.7414236111</v>
      </c>
      <c r="D119" s="23">
        <v>45890.7472569444</v>
      </c>
      <c r="E119" s="23">
        <f>DATE(YEAR(OfficeForms.Table[[#This Row],[Completion time]]), MONTH(OfficeForms.Table[[#This Row],[Completion time]]), DAY(OfficeForms.Table[[#This Row],[Completion time]]))</f>
        <v>45890</v>
      </c>
      <c r="F119" s="31" t="s">
        <v>1002</v>
      </c>
      <c r="G119" s="7" t="s">
        <v>1003</v>
      </c>
      <c r="H119" s="7" t="s">
        <v>1004</v>
      </c>
      <c r="I119" s="7" t="s">
        <v>1005</v>
      </c>
      <c r="J119" s="7" t="s">
        <v>1006</v>
      </c>
      <c r="K119" s="21" t="s">
        <v>1007</v>
      </c>
      <c r="L119" s="7" t="s">
        <v>38</v>
      </c>
      <c r="M119" s="7" t="s">
        <v>1008</v>
      </c>
      <c r="N119" s="79"/>
      <c r="O119" s="74" t="s">
        <v>1009</v>
      </c>
      <c r="P119" s="8" t="s">
        <v>1010</v>
      </c>
      <c r="Q119" s="74" t="s">
        <v>1011</v>
      </c>
      <c r="R119" s="74" t="s">
        <v>96</v>
      </c>
      <c r="S119" s="8" t="s">
        <v>1012</v>
      </c>
      <c r="T119" s="19"/>
      <c r="U119" s="7" t="s">
        <v>216</v>
      </c>
      <c r="V119" s="8" t="s">
        <v>1013</v>
      </c>
      <c r="W119" s="7" t="s">
        <v>42</v>
      </c>
      <c r="X119" s="23"/>
      <c r="Y119" s="31"/>
      <c r="Z119" s="7"/>
      <c r="AA119" s="53" t="s">
        <v>43</v>
      </c>
      <c r="AB119" s="7"/>
      <c r="AC119" s="53" t="s">
        <v>44</v>
      </c>
      <c r="AD119" s="20">
        <v>45922</v>
      </c>
      <c r="AE119" s="16" t="s">
        <v>45</v>
      </c>
      <c r="AF119" s="19"/>
      <c r="AG119" s="19" t="s">
        <v>46</v>
      </c>
    </row>
    <row r="120" spans="1:33" ht="83.25" customHeight="1">
      <c r="A120" s="18">
        <v>113</v>
      </c>
      <c r="B120" s="18"/>
      <c r="C120" s="62">
        <v>45896.182754629597</v>
      </c>
      <c r="D120" s="23">
        <v>45896.187870370399</v>
      </c>
      <c r="E120" s="23">
        <f>DATE(YEAR(OfficeForms.Table[[#This Row],[Completion time]]), MONTH(OfficeForms.Table[[#This Row],[Completion time]]), DAY(OfficeForms.Table[[#This Row],[Completion time]]))</f>
        <v>45896</v>
      </c>
      <c r="F120" s="31" t="s">
        <v>826</v>
      </c>
      <c r="G120" s="7" t="s">
        <v>827</v>
      </c>
      <c r="H120" s="7" t="s">
        <v>980</v>
      </c>
      <c r="I120" s="7" t="s">
        <v>1014</v>
      </c>
      <c r="J120" s="7" t="s">
        <v>1015</v>
      </c>
      <c r="K120" s="21" t="s">
        <v>1016</v>
      </c>
      <c r="L120" s="7" t="s">
        <v>38</v>
      </c>
      <c r="M120" s="26" t="s">
        <v>1017</v>
      </c>
      <c r="N120" s="79"/>
      <c r="O120" s="74" t="s">
        <v>985</v>
      </c>
      <c r="P120" s="8" t="s">
        <v>834</v>
      </c>
      <c r="Q120" s="74" t="s">
        <v>1018</v>
      </c>
      <c r="R120" s="74" t="s">
        <v>1019</v>
      </c>
      <c r="S120" s="8" t="s">
        <v>1020</v>
      </c>
      <c r="T120" s="19"/>
      <c r="U120" s="7" t="s">
        <v>827</v>
      </c>
      <c r="V120" s="8" t="s">
        <v>1021</v>
      </c>
      <c r="W120" s="7" t="s">
        <v>152</v>
      </c>
      <c r="X120" s="23">
        <v>46023</v>
      </c>
      <c r="Y120" s="31"/>
      <c r="Z120" s="7"/>
      <c r="AA120" s="53" t="s">
        <v>43</v>
      </c>
      <c r="AB120" s="7"/>
      <c r="AC120" s="53" t="s">
        <v>53</v>
      </c>
      <c r="AD120" s="20">
        <v>45896</v>
      </c>
      <c r="AE120" s="16" t="s">
        <v>45</v>
      </c>
      <c r="AF120" s="19" t="s">
        <v>1022</v>
      </c>
      <c r="AG120" s="19" t="s">
        <v>46</v>
      </c>
    </row>
    <row r="121" spans="1:33" ht="83.25" customHeight="1">
      <c r="A121" s="18">
        <v>86</v>
      </c>
      <c r="B121" s="18"/>
      <c r="C121" s="62">
        <v>45869.762534722198</v>
      </c>
      <c r="D121" s="23">
        <v>45869.765555555598</v>
      </c>
      <c r="E121" s="23">
        <v>45870</v>
      </c>
      <c r="F121" s="7" t="s">
        <v>468</v>
      </c>
      <c r="G121" s="7" t="s">
        <v>469</v>
      </c>
      <c r="H121" s="7" t="s">
        <v>1023</v>
      </c>
      <c r="I121" s="7" t="s">
        <v>1024</v>
      </c>
      <c r="J121" s="7" t="s">
        <v>1025</v>
      </c>
      <c r="K121" s="21" t="s">
        <v>1026</v>
      </c>
      <c r="L121" s="7" t="s">
        <v>38</v>
      </c>
      <c r="M121" s="7" t="s">
        <v>1027</v>
      </c>
      <c r="N121" s="55"/>
      <c r="O121" s="74" t="s">
        <v>1028</v>
      </c>
      <c r="P121" s="8" t="s">
        <v>268</v>
      </c>
      <c r="Q121" s="74" t="s">
        <v>96</v>
      </c>
      <c r="R121" s="74" t="s">
        <v>96</v>
      </c>
      <c r="S121" s="8" t="s">
        <v>1029</v>
      </c>
      <c r="T121" s="19"/>
      <c r="U121" s="7" t="s">
        <v>469</v>
      </c>
      <c r="V121" s="7" t="s">
        <v>151</v>
      </c>
      <c r="W121" s="7" t="s">
        <v>119</v>
      </c>
      <c r="X121" s="23"/>
      <c r="Y121" s="25"/>
      <c r="Z121" s="7"/>
      <c r="AA121" s="53"/>
      <c r="AB121" s="7"/>
      <c r="AC121" s="53" t="s">
        <v>130</v>
      </c>
      <c r="AD121" s="20"/>
      <c r="AE121" s="16" t="s">
        <v>621</v>
      </c>
      <c r="AF121" s="19"/>
      <c r="AG121" s="19" t="s">
        <v>132</v>
      </c>
    </row>
    <row r="122" spans="1:33" ht="83.25" customHeight="1">
      <c r="A122" s="18">
        <v>226</v>
      </c>
      <c r="B122" s="18"/>
      <c r="C122" s="62">
        <v>46107.013969907399</v>
      </c>
      <c r="D122" s="23">
        <v>46107.017268518503</v>
      </c>
      <c r="E122" s="20">
        <f>DATE(YEAR(OfficeForms.Table[[#This Row],[Completion time]]), MONTH(OfficeForms.Table[[#This Row],[Completion time]]), DAY(OfficeForms.Table[[#This Row],[Completion time]]))</f>
        <v>46107</v>
      </c>
      <c r="F122" s="25" t="s">
        <v>468</v>
      </c>
      <c r="G122" s="7" t="s">
        <v>469</v>
      </c>
      <c r="H122" s="7" t="s">
        <v>1030</v>
      </c>
      <c r="I122" s="7" t="s">
        <v>1031</v>
      </c>
      <c r="J122" s="7" t="s">
        <v>1032</v>
      </c>
      <c r="K122" s="21" t="s">
        <v>1026</v>
      </c>
      <c r="L122" s="7" t="s">
        <v>38</v>
      </c>
      <c r="M122" s="86"/>
      <c r="N122" s="55"/>
      <c r="O122" s="74" t="s">
        <v>908</v>
      </c>
      <c r="P122" s="8" t="s">
        <v>268</v>
      </c>
      <c r="Q122" s="74" t="s">
        <v>268</v>
      </c>
      <c r="R122" s="74" t="s">
        <v>96</v>
      </c>
      <c r="S122" s="8" t="s">
        <v>1033</v>
      </c>
      <c r="T122" s="8" t="s">
        <v>96</v>
      </c>
      <c r="U122" s="7" t="s">
        <v>468</v>
      </c>
      <c r="V122" s="8" t="s">
        <v>151</v>
      </c>
      <c r="W122" s="7" t="s">
        <v>119</v>
      </c>
      <c r="X122" s="23"/>
      <c r="Y122" s="25"/>
      <c r="Z122" s="7"/>
      <c r="AA122" s="53"/>
      <c r="AB122" s="25"/>
      <c r="AC122" s="53"/>
      <c r="AD122" s="20"/>
      <c r="AE122" s="16" t="s">
        <v>621</v>
      </c>
      <c r="AF122" s="19"/>
      <c r="AG122" s="19"/>
    </row>
    <row r="123" spans="1:33" ht="213" customHeight="1">
      <c r="A123" s="18">
        <v>185</v>
      </c>
      <c r="B123" s="18"/>
      <c r="C123" s="62">
        <v>46010.494861111103</v>
      </c>
      <c r="D123" s="23">
        <v>46010.499317129601</v>
      </c>
      <c r="E123" s="20">
        <f>DATE(YEAR(OfficeForms.Table[[#This Row],[Completion time]]), MONTH(OfficeForms.Table[[#This Row],[Completion time]]), DAY(OfficeForms.Table[[#This Row],[Completion time]]))</f>
        <v>46010</v>
      </c>
      <c r="F123" s="25" t="s">
        <v>1034</v>
      </c>
      <c r="G123" s="7" t="s">
        <v>1035</v>
      </c>
      <c r="H123" s="7" t="s">
        <v>1036</v>
      </c>
      <c r="I123" s="7" t="s">
        <v>1037</v>
      </c>
      <c r="J123" s="7" t="s">
        <v>1038</v>
      </c>
      <c r="K123" s="21" t="s">
        <v>1039</v>
      </c>
      <c r="L123" s="7" t="s">
        <v>38</v>
      </c>
      <c r="M123" s="26" t="s">
        <v>1040</v>
      </c>
      <c r="N123" s="55"/>
      <c r="O123" s="74" t="s">
        <v>1041</v>
      </c>
      <c r="P123" s="8" t="s">
        <v>1042</v>
      </c>
      <c r="Q123" s="74" t="s">
        <v>1043</v>
      </c>
      <c r="R123" s="74" t="s">
        <v>1044</v>
      </c>
      <c r="S123" s="8" t="s">
        <v>1045</v>
      </c>
      <c r="T123" s="8" t="s">
        <v>96</v>
      </c>
      <c r="U123" s="7" t="s">
        <v>1046</v>
      </c>
      <c r="V123" s="8" t="s">
        <v>1038</v>
      </c>
      <c r="W123" s="7" t="s">
        <v>119</v>
      </c>
      <c r="X123" s="23"/>
      <c r="Y123" s="25"/>
      <c r="Z123" s="7"/>
      <c r="AA123" s="53"/>
      <c r="AB123" s="25"/>
      <c r="AC123" s="53"/>
      <c r="AD123" s="20">
        <v>46014</v>
      </c>
      <c r="AE123" s="16" t="s">
        <v>621</v>
      </c>
      <c r="AF123" s="19"/>
      <c r="AG123" s="19" t="s">
        <v>646</v>
      </c>
    </row>
    <row r="124" spans="1:33" ht="83.25" customHeight="1">
      <c r="A124" s="18">
        <v>165</v>
      </c>
      <c r="B124" s="18"/>
      <c r="C124" s="62">
        <v>45966.9741319444</v>
      </c>
      <c r="D124" s="23">
        <v>45966.9781365741</v>
      </c>
      <c r="E124" s="20">
        <f>DATE(YEAR(OfficeForms.Table[[#This Row],[Completion time]]), MONTH(OfficeForms.Table[[#This Row],[Completion time]]), DAY(OfficeForms.Table[[#This Row],[Completion time]]))</f>
        <v>45966</v>
      </c>
      <c r="F124" s="25" t="s">
        <v>313</v>
      </c>
      <c r="G124" s="7" t="s">
        <v>314</v>
      </c>
      <c r="H124" s="7" t="s">
        <v>1047</v>
      </c>
      <c r="I124" s="7" t="s">
        <v>1048</v>
      </c>
      <c r="J124" s="7" t="s">
        <v>1049</v>
      </c>
      <c r="K124" s="21" t="s">
        <v>1050</v>
      </c>
      <c r="L124" s="7" t="s">
        <v>38</v>
      </c>
      <c r="M124" s="7" t="s">
        <v>1051</v>
      </c>
      <c r="N124" s="55"/>
      <c r="O124" s="74" t="s">
        <v>1052</v>
      </c>
      <c r="P124" s="8" t="s">
        <v>834</v>
      </c>
      <c r="Q124" s="74" t="s">
        <v>1053</v>
      </c>
      <c r="R124" s="74" t="s">
        <v>1054</v>
      </c>
      <c r="S124" s="8" t="s">
        <v>1055</v>
      </c>
      <c r="T124" s="7" t="s">
        <v>1056</v>
      </c>
      <c r="U124" s="7" t="s">
        <v>314</v>
      </c>
      <c r="V124" s="8" t="s">
        <v>1057</v>
      </c>
      <c r="W124" s="7" t="s">
        <v>42</v>
      </c>
      <c r="X124" s="23"/>
      <c r="Y124" s="25"/>
      <c r="Z124" s="7"/>
      <c r="AA124" s="53" t="s">
        <v>489</v>
      </c>
      <c r="AB124" s="25"/>
      <c r="AC124" s="53" t="s">
        <v>53</v>
      </c>
      <c r="AD124" s="20">
        <v>45980</v>
      </c>
      <c r="AE124" s="16" t="s">
        <v>1058</v>
      </c>
      <c r="AF124" s="19"/>
      <c r="AG124" s="19" t="s">
        <v>132</v>
      </c>
    </row>
    <row r="125" spans="1:33" ht="83.25" customHeight="1">
      <c r="A125" s="18">
        <v>118</v>
      </c>
      <c r="B125" s="18"/>
      <c r="C125" s="62">
        <v>45898.515520833302</v>
      </c>
      <c r="D125" s="23">
        <v>45898.5177430556</v>
      </c>
      <c r="E125" s="23">
        <v>45898</v>
      </c>
      <c r="F125" s="25" t="s">
        <v>186</v>
      </c>
      <c r="G125" s="7" t="s">
        <v>47</v>
      </c>
      <c r="H125" s="7" t="s">
        <v>1059</v>
      </c>
      <c r="I125" s="7" t="s">
        <v>1060</v>
      </c>
      <c r="J125" s="7" t="s">
        <v>1061</v>
      </c>
      <c r="K125" s="21" t="s">
        <v>1062</v>
      </c>
      <c r="L125" s="7" t="s">
        <v>206</v>
      </c>
      <c r="M125" s="7" t="s">
        <v>1063</v>
      </c>
      <c r="N125" s="55"/>
      <c r="O125" s="74" t="s">
        <v>616</v>
      </c>
      <c r="P125" s="8" t="s">
        <v>40</v>
      </c>
      <c r="Q125" s="74" t="s">
        <v>96</v>
      </c>
      <c r="R125" s="74" t="s">
        <v>96</v>
      </c>
      <c r="S125" s="8" t="s">
        <v>1064</v>
      </c>
      <c r="T125" s="19"/>
      <c r="U125" s="7" t="s">
        <v>47</v>
      </c>
      <c r="V125" s="8" t="s">
        <v>1065</v>
      </c>
      <c r="W125" s="7" t="s">
        <v>42</v>
      </c>
      <c r="X125" s="23"/>
      <c r="Y125" s="25"/>
      <c r="Z125" s="7"/>
      <c r="AA125" s="53" t="s">
        <v>43</v>
      </c>
      <c r="AB125" s="7"/>
      <c r="AC125" s="53" t="s">
        <v>53</v>
      </c>
      <c r="AD125" s="20">
        <v>45901</v>
      </c>
      <c r="AE125" s="16" t="s">
        <v>45</v>
      </c>
      <c r="AF125" s="19" t="s">
        <v>1066</v>
      </c>
      <c r="AG125" s="19" t="s">
        <v>46</v>
      </c>
    </row>
    <row r="126" spans="1:33" ht="83.25" customHeight="1">
      <c r="A126" s="18">
        <v>119</v>
      </c>
      <c r="B126" s="18"/>
      <c r="C126" s="62">
        <v>45901.449895833299</v>
      </c>
      <c r="D126" s="23">
        <v>45901.462731481501</v>
      </c>
      <c r="E126" s="23">
        <v>45901</v>
      </c>
      <c r="F126" s="25" t="s">
        <v>1067</v>
      </c>
      <c r="G126" s="7" t="s">
        <v>1068</v>
      </c>
      <c r="H126" s="7" t="s">
        <v>1069</v>
      </c>
      <c r="I126" s="7" t="s">
        <v>1070</v>
      </c>
      <c r="J126" s="7" t="s">
        <v>1071</v>
      </c>
      <c r="K126" s="21" t="s">
        <v>205</v>
      </c>
      <c r="L126" s="7" t="s">
        <v>38</v>
      </c>
      <c r="M126" s="7" t="s">
        <v>1072</v>
      </c>
      <c r="N126" s="55"/>
      <c r="O126" s="74" t="s">
        <v>1073</v>
      </c>
      <c r="P126" s="8" t="s">
        <v>40</v>
      </c>
      <c r="Q126" s="74" t="s">
        <v>96</v>
      </c>
      <c r="R126" s="74" t="s">
        <v>96</v>
      </c>
      <c r="S126" s="8" t="s">
        <v>96</v>
      </c>
      <c r="T126" s="19"/>
      <c r="U126" s="7" t="s">
        <v>210</v>
      </c>
      <c r="V126" s="8" t="s">
        <v>1074</v>
      </c>
      <c r="W126" s="7" t="s">
        <v>119</v>
      </c>
      <c r="X126" s="23"/>
      <c r="Y126" s="25"/>
      <c r="Z126" s="7"/>
      <c r="AA126" s="53" t="s">
        <v>356</v>
      </c>
      <c r="AB126" s="25" t="s">
        <v>129</v>
      </c>
      <c r="AC126" s="53" t="s">
        <v>130</v>
      </c>
      <c r="AD126" s="20">
        <v>45917</v>
      </c>
      <c r="AE126" s="16" t="s">
        <v>45</v>
      </c>
      <c r="AF126" s="19"/>
      <c r="AG126" s="19" t="s">
        <v>46</v>
      </c>
    </row>
    <row r="127" spans="1:33" ht="83.25" customHeight="1">
      <c r="A127" s="18">
        <v>111</v>
      </c>
      <c r="B127" s="18"/>
      <c r="C127" s="62">
        <v>45890.485057870399</v>
      </c>
      <c r="D127" s="23">
        <v>45890.488877314798</v>
      </c>
      <c r="E127" s="23">
        <f>DATE(YEAR(OfficeForms.Table[[#This Row],[Completion time]]), MONTH(OfficeForms.Table[[#This Row],[Completion time]]), DAY(OfficeForms.Table[[#This Row],[Completion time]]))</f>
        <v>45890</v>
      </c>
      <c r="F127" s="7" t="s">
        <v>305</v>
      </c>
      <c r="G127" s="7" t="s">
        <v>306</v>
      </c>
      <c r="H127" s="7" t="s">
        <v>1075</v>
      </c>
      <c r="I127" s="7" t="s">
        <v>1076</v>
      </c>
      <c r="J127" s="7" t="s">
        <v>1077</v>
      </c>
      <c r="K127" s="21" t="s">
        <v>1078</v>
      </c>
      <c r="L127" s="7" t="s">
        <v>38</v>
      </c>
      <c r="M127" s="25" t="s">
        <v>1079</v>
      </c>
      <c r="N127" s="55" t="s">
        <v>1080</v>
      </c>
      <c r="O127" s="74" t="s">
        <v>1081</v>
      </c>
      <c r="P127" s="8" t="s">
        <v>40</v>
      </c>
      <c r="Q127" s="74" t="s">
        <v>96</v>
      </c>
      <c r="R127" s="74" t="s">
        <v>1082</v>
      </c>
      <c r="S127" s="8" t="s">
        <v>1083</v>
      </c>
      <c r="T127" s="19"/>
      <c r="U127" s="7" t="s">
        <v>306</v>
      </c>
      <c r="V127" s="8" t="s">
        <v>328</v>
      </c>
      <c r="W127" s="7" t="s">
        <v>42</v>
      </c>
      <c r="X127" s="23"/>
      <c r="Y127" s="25"/>
      <c r="Z127" s="7"/>
      <c r="AA127" s="53" t="s">
        <v>43</v>
      </c>
      <c r="AB127" s="7"/>
      <c r="AC127" s="80" t="s">
        <v>53</v>
      </c>
      <c r="AD127" s="20">
        <v>45891</v>
      </c>
      <c r="AE127" s="16" t="s">
        <v>621</v>
      </c>
      <c r="AF127" s="19"/>
      <c r="AG127" s="19" t="s">
        <v>46</v>
      </c>
    </row>
    <row r="128" spans="1:33" ht="83.25" customHeight="1">
      <c r="A128" s="18">
        <v>121</v>
      </c>
      <c r="B128" s="18"/>
      <c r="C128" s="62">
        <v>45902.519594907397</v>
      </c>
      <c r="D128" s="23">
        <v>45902.522754629601</v>
      </c>
      <c r="E128" s="23">
        <f>DATE(YEAR(OfficeForms.Table[[#This Row],[Completion time]]), MONTH(OfficeForms.Table[[#This Row],[Completion time]]), DAY(OfficeForms.Table[[#This Row],[Completion time]]))</f>
        <v>45902</v>
      </c>
      <c r="F128" s="25" t="s">
        <v>186</v>
      </c>
      <c r="G128" s="7" t="s">
        <v>47</v>
      </c>
      <c r="H128" s="7" t="s">
        <v>1084</v>
      </c>
      <c r="I128" s="7" t="s">
        <v>1085</v>
      </c>
      <c r="J128" s="7" t="s">
        <v>1086</v>
      </c>
      <c r="K128" s="21" t="s">
        <v>1087</v>
      </c>
      <c r="L128" s="7" t="s">
        <v>38</v>
      </c>
      <c r="M128" s="7" t="s">
        <v>1088</v>
      </c>
      <c r="N128" s="55"/>
      <c r="O128" s="74" t="s">
        <v>1089</v>
      </c>
      <c r="P128" s="8" t="s">
        <v>40</v>
      </c>
      <c r="Q128" s="74" t="s">
        <v>96</v>
      </c>
      <c r="R128" s="74" t="s">
        <v>96</v>
      </c>
      <c r="S128" s="8" t="s">
        <v>1090</v>
      </c>
      <c r="T128" s="19"/>
      <c r="U128" s="7" t="s">
        <v>47</v>
      </c>
      <c r="V128" s="8" t="s">
        <v>657</v>
      </c>
      <c r="W128" s="7" t="s">
        <v>42</v>
      </c>
      <c r="X128" s="23"/>
      <c r="Y128" s="25"/>
      <c r="Z128" s="7"/>
      <c r="AA128" s="53" t="s">
        <v>43</v>
      </c>
      <c r="AB128" s="7"/>
      <c r="AC128" s="53" t="s">
        <v>53</v>
      </c>
      <c r="AD128" s="20">
        <v>45902</v>
      </c>
      <c r="AE128" s="16" t="s">
        <v>45</v>
      </c>
      <c r="AF128" s="19"/>
      <c r="AG128" s="19" t="s">
        <v>46</v>
      </c>
    </row>
    <row r="129" spans="1:33" ht="83.25" customHeight="1">
      <c r="A129" s="18">
        <v>122</v>
      </c>
      <c r="B129" s="18"/>
      <c r="C129" s="62">
        <v>45902.866550925901</v>
      </c>
      <c r="D129" s="23">
        <v>45902.867002314801</v>
      </c>
      <c r="E129" s="23">
        <f>DATE(YEAR(OfficeForms.Table[[#This Row],[Completion time]]), MONTH(OfficeForms.Table[[#This Row],[Completion time]]), DAY(OfficeForms.Table[[#This Row],[Completion time]]))</f>
        <v>45902</v>
      </c>
      <c r="F129" s="25" t="s">
        <v>155</v>
      </c>
      <c r="G129" s="7" t="s">
        <v>121</v>
      </c>
      <c r="H129" s="7" t="s">
        <v>1091</v>
      </c>
      <c r="I129" s="7" t="s">
        <v>1092</v>
      </c>
      <c r="J129" s="7" t="s">
        <v>1092</v>
      </c>
      <c r="K129" s="21" t="s">
        <v>362</v>
      </c>
      <c r="L129" s="64" t="s">
        <v>346</v>
      </c>
      <c r="M129" s="7" t="s">
        <v>1093</v>
      </c>
      <c r="N129" s="55"/>
      <c r="O129" s="74" t="s">
        <v>1094</v>
      </c>
      <c r="P129" s="8" t="s">
        <v>171</v>
      </c>
      <c r="Q129" s="74" t="s">
        <v>117</v>
      </c>
      <c r="R129" s="74" t="s">
        <v>117</v>
      </c>
      <c r="S129" s="8" t="s">
        <v>117</v>
      </c>
      <c r="T129" s="19"/>
      <c r="U129" s="7" t="s">
        <v>1095</v>
      </c>
      <c r="V129" s="8" t="s">
        <v>1096</v>
      </c>
      <c r="W129" s="7" t="s">
        <v>119</v>
      </c>
      <c r="X129" s="23"/>
      <c r="Y129" s="25"/>
      <c r="Z129" s="7"/>
      <c r="AA129" s="53"/>
      <c r="AB129" s="7"/>
      <c r="AC129" s="53" t="s">
        <v>130</v>
      </c>
      <c r="AD129" s="20"/>
      <c r="AE129" s="16" t="s">
        <v>45</v>
      </c>
      <c r="AF129" s="19"/>
      <c r="AG129" s="19" t="s">
        <v>934</v>
      </c>
    </row>
    <row r="130" spans="1:33" ht="83.25" customHeight="1">
      <c r="A130" s="18">
        <v>199</v>
      </c>
      <c r="B130" s="18"/>
      <c r="C130" s="62">
        <v>46062.604074074101</v>
      </c>
      <c r="D130" s="23">
        <v>46062.689722222203</v>
      </c>
      <c r="E130" s="20">
        <v>46063</v>
      </c>
      <c r="F130" s="25" t="s">
        <v>1097</v>
      </c>
      <c r="G130" s="7" t="s">
        <v>1098</v>
      </c>
      <c r="H130" s="7" t="s">
        <v>1099</v>
      </c>
      <c r="I130" s="7" t="s">
        <v>1100</v>
      </c>
      <c r="J130" s="7" t="s">
        <v>1101</v>
      </c>
      <c r="K130" s="21" t="s">
        <v>1102</v>
      </c>
      <c r="L130" s="7" t="s">
        <v>38</v>
      </c>
      <c r="M130" s="86" t="s">
        <v>1103</v>
      </c>
      <c r="N130" s="55"/>
      <c r="O130" s="74" t="s">
        <v>96</v>
      </c>
      <c r="P130" s="8" t="s">
        <v>40</v>
      </c>
      <c r="Q130" s="74" t="s">
        <v>96</v>
      </c>
      <c r="R130" s="74" t="s">
        <v>96</v>
      </c>
      <c r="S130" s="8" t="s">
        <v>1104</v>
      </c>
      <c r="T130" s="8" t="s">
        <v>96</v>
      </c>
      <c r="U130" s="7" t="s">
        <v>121</v>
      </c>
      <c r="V130" s="8" t="s">
        <v>151</v>
      </c>
      <c r="W130" s="7" t="s">
        <v>119</v>
      </c>
      <c r="X130" s="23"/>
      <c r="Y130" s="25"/>
      <c r="Z130" s="7"/>
      <c r="AA130" s="53"/>
      <c r="AB130" s="25"/>
      <c r="AC130" s="53"/>
      <c r="AD130" s="20"/>
      <c r="AE130" s="16" t="s">
        <v>621</v>
      </c>
      <c r="AF130" s="19"/>
      <c r="AG130" s="19" t="s">
        <v>71</v>
      </c>
    </row>
    <row r="131" spans="1:33" ht="83.25" customHeight="1">
      <c r="A131" s="18">
        <v>124</v>
      </c>
      <c r="B131" s="18"/>
      <c r="C131" s="62">
        <v>45904.485694444404</v>
      </c>
      <c r="D131" s="23">
        <v>45904.487187500003</v>
      </c>
      <c r="E131" s="23">
        <f>DATE(YEAR(OfficeForms.Table[[#This Row],[Completion time]]), MONTH(OfficeForms.Table[[#This Row],[Completion time]]), DAY(OfficeForms.Table[[#This Row],[Completion time]]))</f>
        <v>45904</v>
      </c>
      <c r="F131" s="25" t="s">
        <v>764</v>
      </c>
      <c r="G131" s="7" t="s">
        <v>765</v>
      </c>
      <c r="H131" s="7" t="s">
        <v>1105</v>
      </c>
      <c r="I131" s="7" t="s">
        <v>1106</v>
      </c>
      <c r="J131" s="7" t="s">
        <v>1107</v>
      </c>
      <c r="K131" s="21" t="s">
        <v>1108</v>
      </c>
      <c r="L131" s="7" t="s">
        <v>38</v>
      </c>
      <c r="M131" s="7" t="s">
        <v>1109</v>
      </c>
      <c r="N131" s="55"/>
      <c r="O131" s="74" t="s">
        <v>1110</v>
      </c>
      <c r="P131" s="8" t="s">
        <v>565</v>
      </c>
      <c r="Q131" s="74" t="s">
        <v>1111</v>
      </c>
      <c r="R131" s="74" t="s">
        <v>1112</v>
      </c>
      <c r="S131" s="8" t="s">
        <v>1113</v>
      </c>
      <c r="T131" s="19"/>
      <c r="U131" s="7" t="s">
        <v>629</v>
      </c>
      <c r="V131" s="8" t="s">
        <v>1114</v>
      </c>
      <c r="W131" s="7" t="s">
        <v>119</v>
      </c>
      <c r="X131" s="23"/>
      <c r="Y131" s="25"/>
      <c r="Z131" s="7"/>
      <c r="AA131" s="80" t="s">
        <v>356</v>
      </c>
      <c r="AB131" s="25" t="s">
        <v>129</v>
      </c>
      <c r="AC131" s="53" t="s">
        <v>130</v>
      </c>
      <c r="AD131" s="20">
        <v>45905</v>
      </c>
      <c r="AE131" s="16" t="s">
        <v>45</v>
      </c>
      <c r="AF131" s="19"/>
      <c r="AG131" s="19" t="s">
        <v>46</v>
      </c>
    </row>
    <row r="132" spans="1:33" ht="83.25" customHeight="1">
      <c r="A132" s="22">
        <v>221</v>
      </c>
      <c r="B132" s="22"/>
      <c r="C132" s="60">
        <v>46094.7022222222</v>
      </c>
      <c r="D132" s="23">
        <v>46094.708101851902</v>
      </c>
      <c r="E132" s="20">
        <f>DATE(YEAR(OfficeForms.Table[[#This Row],[Completion time]]), MONTH(OfficeForms.Table[[#This Row],[Completion time]]), DAY(OfficeForms.Table[[#This Row],[Completion time]]))</f>
        <v>46094</v>
      </c>
      <c r="F132" s="32" t="s">
        <v>241</v>
      </c>
      <c r="G132" s="3" t="s">
        <v>242</v>
      </c>
      <c r="H132" s="3"/>
      <c r="I132" s="3" t="s">
        <v>1115</v>
      </c>
      <c r="J132" s="3" t="s">
        <v>1116</v>
      </c>
      <c r="K132" s="21" t="s">
        <v>1117</v>
      </c>
      <c r="L132" s="3" t="s">
        <v>38</v>
      </c>
      <c r="M132" s="88"/>
      <c r="N132" s="55"/>
      <c r="O132" s="76" t="s">
        <v>1118</v>
      </c>
      <c r="P132" s="9" t="s">
        <v>268</v>
      </c>
      <c r="Q132" s="76" t="s">
        <v>1119</v>
      </c>
      <c r="R132" s="76" t="s">
        <v>1120</v>
      </c>
      <c r="S132" s="9" t="s">
        <v>1121</v>
      </c>
      <c r="T132" s="9" t="s">
        <v>1122</v>
      </c>
      <c r="U132" s="3" t="s">
        <v>1123</v>
      </c>
      <c r="V132" s="9" t="s">
        <v>1124</v>
      </c>
      <c r="W132" s="3" t="s">
        <v>119</v>
      </c>
      <c r="Y132" s="32"/>
      <c r="Z132" s="3"/>
      <c r="AA132" s="4"/>
      <c r="AB132" s="32"/>
      <c r="AC132" s="53"/>
      <c r="AD132" s="1"/>
      <c r="AE132" s="24" t="s">
        <v>621</v>
      </c>
      <c r="AF132" s="19"/>
      <c r="AG132" s="19"/>
    </row>
    <row r="133" spans="1:33" ht="83.25" customHeight="1">
      <c r="A133" s="18">
        <v>194</v>
      </c>
      <c r="B133" s="18"/>
      <c r="C133" s="62">
        <v>46055.468564814801</v>
      </c>
      <c r="D133" s="23">
        <v>46055.4702314815</v>
      </c>
      <c r="E133" s="20">
        <f>DATE(YEAR(OfficeForms.Table[[#This Row],[Completion time]]), MONTH(OfficeForms.Table[[#This Row],[Completion time]]), DAY(OfficeForms.Table[[#This Row],[Completion time]]))</f>
        <v>46055</v>
      </c>
      <c r="F133" s="25" t="s">
        <v>874</v>
      </c>
      <c r="G133" s="7" t="s">
        <v>875</v>
      </c>
      <c r="H133" s="7" t="s">
        <v>1125</v>
      </c>
      <c r="I133" s="7" t="s">
        <v>1126</v>
      </c>
      <c r="J133" s="7" t="s">
        <v>1127</v>
      </c>
      <c r="K133" s="21" t="s">
        <v>189</v>
      </c>
      <c r="L133" s="7" t="s">
        <v>38</v>
      </c>
      <c r="M133" s="88"/>
      <c r="N133" s="55"/>
      <c r="O133" s="74" t="s">
        <v>1128</v>
      </c>
      <c r="P133" s="8" t="s">
        <v>171</v>
      </c>
      <c r="Q133" s="74" t="s">
        <v>171</v>
      </c>
      <c r="R133" s="74" t="s">
        <v>171</v>
      </c>
      <c r="S133" s="8" t="s">
        <v>171</v>
      </c>
      <c r="T133" s="8" t="s">
        <v>171</v>
      </c>
      <c r="U133" s="7" t="s">
        <v>1129</v>
      </c>
      <c r="V133" s="8" t="s">
        <v>171</v>
      </c>
      <c r="W133" s="7" t="s">
        <v>119</v>
      </c>
      <c r="X133" s="23"/>
      <c r="Y133" s="25"/>
      <c r="Z133" s="7"/>
      <c r="AA133" s="53"/>
      <c r="AB133" s="25"/>
      <c r="AC133" s="53"/>
      <c r="AD133" s="20"/>
      <c r="AE133" s="16" t="s">
        <v>621</v>
      </c>
      <c r="AF133" s="19"/>
      <c r="AG133" s="19" t="s">
        <v>151</v>
      </c>
    </row>
    <row r="134" spans="1:33" ht="83.25" customHeight="1">
      <c r="A134" s="22">
        <v>129</v>
      </c>
      <c r="B134" s="22"/>
      <c r="C134" s="60">
        <v>45914.708773148101</v>
      </c>
      <c r="D134" s="23">
        <v>45914.7132291667</v>
      </c>
      <c r="E134" s="23">
        <v>45915</v>
      </c>
      <c r="F134" s="32" t="s">
        <v>186</v>
      </c>
      <c r="G134" s="3" t="s">
        <v>47</v>
      </c>
      <c r="H134" s="3" t="s">
        <v>1130</v>
      </c>
      <c r="I134" s="3" t="s">
        <v>1131</v>
      </c>
      <c r="J134" s="3" t="s">
        <v>1132</v>
      </c>
      <c r="K134" s="21" t="s">
        <v>1133</v>
      </c>
      <c r="L134" s="3" t="s">
        <v>38</v>
      </c>
      <c r="M134" s="3" t="s">
        <v>1134</v>
      </c>
      <c r="N134" s="55"/>
      <c r="O134" s="76" t="s">
        <v>1081</v>
      </c>
      <c r="P134" s="9" t="s">
        <v>40</v>
      </c>
      <c r="Q134" s="76" t="s">
        <v>1135</v>
      </c>
      <c r="R134" s="76" t="s">
        <v>1136</v>
      </c>
      <c r="S134" s="9" t="s">
        <v>1137</v>
      </c>
      <c r="U134" s="3" t="s">
        <v>47</v>
      </c>
      <c r="V134" s="9" t="s">
        <v>1138</v>
      </c>
      <c r="W134" s="3" t="s">
        <v>42</v>
      </c>
      <c r="Y134" s="32"/>
      <c r="Z134" s="3"/>
      <c r="AA134" s="4" t="s">
        <v>43</v>
      </c>
      <c r="AB134" s="3"/>
      <c r="AC134" s="53" t="s">
        <v>53</v>
      </c>
      <c r="AD134" s="1">
        <v>45916</v>
      </c>
      <c r="AE134" s="16" t="s">
        <v>621</v>
      </c>
      <c r="AF134" s="70" t="s">
        <v>1139</v>
      </c>
      <c r="AG134" s="19" t="s">
        <v>1140</v>
      </c>
    </row>
    <row r="135" spans="1:33" ht="83.25" customHeight="1">
      <c r="A135" s="22">
        <v>100</v>
      </c>
      <c r="B135" s="22"/>
      <c r="C135" s="60">
        <v>45881.429317129601</v>
      </c>
      <c r="D135" s="23">
        <v>45881.433483796303</v>
      </c>
      <c r="E135" s="23">
        <f>DATE(YEAR(OfficeForms.Table[[#This Row],[Completion time]]), MONTH(OfficeForms.Table[[#This Row],[Completion time]]), DAY(OfficeForms.Table[[#This Row],[Completion time]]))</f>
        <v>45881</v>
      </c>
      <c r="F135" s="3" t="s">
        <v>186</v>
      </c>
      <c r="G135" s="3" t="s">
        <v>47</v>
      </c>
      <c r="H135" s="3" t="s">
        <v>1141</v>
      </c>
      <c r="I135" s="3" t="s">
        <v>1142</v>
      </c>
      <c r="J135" s="3" t="s">
        <v>1143</v>
      </c>
      <c r="K135" s="21" t="s">
        <v>1144</v>
      </c>
      <c r="L135" s="3" t="s">
        <v>38</v>
      </c>
      <c r="M135" s="3" t="s">
        <v>1145</v>
      </c>
      <c r="N135" s="55" t="s">
        <v>1146</v>
      </c>
      <c r="O135" s="76" t="s">
        <v>1147</v>
      </c>
      <c r="P135" s="9" t="s">
        <v>40</v>
      </c>
      <c r="Q135" s="76" t="s">
        <v>1148</v>
      </c>
      <c r="R135" s="76" t="s">
        <v>1149</v>
      </c>
      <c r="S135" s="9" t="s">
        <v>402</v>
      </c>
      <c r="U135" s="3" t="s">
        <v>47</v>
      </c>
      <c r="V135" s="3" t="s">
        <v>1150</v>
      </c>
      <c r="W135" s="3" t="s">
        <v>42</v>
      </c>
      <c r="Y135" s="32"/>
      <c r="Z135" s="3"/>
      <c r="AA135" s="4" t="s">
        <v>43</v>
      </c>
      <c r="AB135" s="3"/>
      <c r="AC135" s="53" t="s">
        <v>53</v>
      </c>
      <c r="AD135" s="1">
        <v>45881</v>
      </c>
      <c r="AE135" s="16" t="s">
        <v>621</v>
      </c>
      <c r="AF135" s="19"/>
      <c r="AG135" s="19" t="s">
        <v>46</v>
      </c>
    </row>
    <row r="136" spans="1:33" ht="83.25" customHeight="1">
      <c r="A136" s="18">
        <v>136</v>
      </c>
      <c r="B136" s="18"/>
      <c r="C136" s="62">
        <v>45924.496284722198</v>
      </c>
      <c r="D136" s="23">
        <v>45924.497696759303</v>
      </c>
      <c r="E136" s="23">
        <v>45925</v>
      </c>
      <c r="F136" s="25" t="s">
        <v>175</v>
      </c>
      <c r="G136" s="7" t="s">
        <v>176</v>
      </c>
      <c r="H136" s="3" t="s">
        <v>1151</v>
      </c>
      <c r="I136" s="7" t="s">
        <v>1152</v>
      </c>
      <c r="J136" s="7" t="s">
        <v>1153</v>
      </c>
      <c r="K136" s="21" t="s">
        <v>180</v>
      </c>
      <c r="L136" s="7" t="s">
        <v>206</v>
      </c>
      <c r="M136" s="7" t="s">
        <v>1154</v>
      </c>
      <c r="N136" s="55"/>
      <c r="O136" s="74" t="s">
        <v>1155</v>
      </c>
      <c r="P136" s="8" t="s">
        <v>565</v>
      </c>
      <c r="Q136" s="74" t="s">
        <v>1156</v>
      </c>
      <c r="R136" s="74" t="s">
        <v>1156</v>
      </c>
      <c r="S136" s="8" t="s">
        <v>1157</v>
      </c>
      <c r="T136" s="19"/>
      <c r="U136" s="7" t="s">
        <v>1158</v>
      </c>
      <c r="V136" s="8" t="s">
        <v>1159</v>
      </c>
      <c r="W136" s="7" t="s">
        <v>119</v>
      </c>
      <c r="X136" s="23"/>
      <c r="Y136" s="25"/>
      <c r="Z136" s="7"/>
      <c r="AA136" s="53" t="s">
        <v>1160</v>
      </c>
      <c r="AB136" s="7"/>
      <c r="AC136" s="53" t="s">
        <v>130</v>
      </c>
      <c r="AD136" s="20">
        <v>45925</v>
      </c>
      <c r="AE136" s="16" t="s">
        <v>621</v>
      </c>
      <c r="AF136" s="19"/>
      <c r="AG136" s="19" t="s">
        <v>1161</v>
      </c>
    </row>
    <row r="137" spans="1:33" ht="83.25" customHeight="1">
      <c r="A137" s="22">
        <v>88</v>
      </c>
      <c r="B137" s="22"/>
      <c r="C137" s="60">
        <v>45873.493888888901</v>
      </c>
      <c r="D137" s="23">
        <v>45873.497430555602</v>
      </c>
      <c r="E137" s="23">
        <f>DATE(YEAR(OfficeForms.Table[[#This Row],[Completion time]]), MONTH(OfficeForms.Table[[#This Row],[Completion time]]), DAY(OfficeForms.Table[[#This Row],[Completion time]]))</f>
        <v>45873</v>
      </c>
      <c r="F137" s="3" t="s">
        <v>874</v>
      </c>
      <c r="G137" s="3" t="s">
        <v>875</v>
      </c>
      <c r="H137" s="3" t="s">
        <v>1162</v>
      </c>
      <c r="I137" s="3" t="s">
        <v>1163</v>
      </c>
      <c r="J137" s="3" t="s">
        <v>1163</v>
      </c>
      <c r="K137" s="21" t="s">
        <v>1164</v>
      </c>
      <c r="L137" s="3" t="s">
        <v>206</v>
      </c>
      <c r="M137" s="3" t="s">
        <v>1165</v>
      </c>
      <c r="N137" s="55" t="s">
        <v>1166</v>
      </c>
      <c r="O137" s="76" t="s">
        <v>880</v>
      </c>
      <c r="P137" s="9" t="s">
        <v>40</v>
      </c>
      <c r="Q137" s="76" t="s">
        <v>96</v>
      </c>
      <c r="R137" s="76" t="s">
        <v>96</v>
      </c>
      <c r="S137" s="9" t="s">
        <v>847</v>
      </c>
      <c r="U137" s="3" t="s">
        <v>1167</v>
      </c>
      <c r="V137" s="3" t="s">
        <v>1168</v>
      </c>
      <c r="W137" s="3" t="s">
        <v>119</v>
      </c>
      <c r="Y137" s="32"/>
      <c r="Z137" s="3"/>
      <c r="AA137" s="3" t="s">
        <v>43</v>
      </c>
      <c r="AB137" s="3"/>
      <c r="AC137" s="53" t="s">
        <v>130</v>
      </c>
      <c r="AD137" s="1">
        <v>45874</v>
      </c>
      <c r="AE137" s="24" t="s">
        <v>621</v>
      </c>
      <c r="AF137" s="19"/>
      <c r="AG137" s="19" t="s">
        <v>71</v>
      </c>
    </row>
    <row r="138" spans="1:33" ht="83.25" customHeight="1">
      <c r="A138" s="18">
        <v>131</v>
      </c>
      <c r="B138" s="18"/>
      <c r="C138" s="62">
        <v>45917.776296296302</v>
      </c>
      <c r="D138" s="23">
        <v>45917.777326388903</v>
      </c>
      <c r="E138" s="23">
        <v>45918</v>
      </c>
      <c r="F138" s="25" t="s">
        <v>175</v>
      </c>
      <c r="G138" s="7" t="s">
        <v>176</v>
      </c>
      <c r="H138" s="7" t="s">
        <v>1169</v>
      </c>
      <c r="I138" s="7" t="s">
        <v>1170</v>
      </c>
      <c r="J138" s="7" t="s">
        <v>1171</v>
      </c>
      <c r="K138" s="21" t="s">
        <v>277</v>
      </c>
      <c r="L138" s="64" t="s">
        <v>346</v>
      </c>
      <c r="M138" s="7" t="s">
        <v>1172</v>
      </c>
      <c r="N138" s="55"/>
      <c r="O138" s="74" t="s">
        <v>1173</v>
      </c>
      <c r="P138" s="8" t="s">
        <v>499</v>
      </c>
      <c r="Q138" s="74" t="s">
        <v>1156</v>
      </c>
      <c r="R138" s="74" t="s">
        <v>1156</v>
      </c>
      <c r="S138" s="8" t="s">
        <v>1174</v>
      </c>
      <c r="T138" s="19"/>
      <c r="U138" s="7" t="s">
        <v>210</v>
      </c>
      <c r="V138" s="8" t="s">
        <v>1175</v>
      </c>
      <c r="W138" s="7" t="s">
        <v>152</v>
      </c>
      <c r="X138" s="23">
        <v>45931</v>
      </c>
      <c r="Y138" s="25"/>
      <c r="Z138" s="7"/>
      <c r="AA138" s="53"/>
      <c r="AB138" s="7"/>
      <c r="AC138" s="53" t="s">
        <v>130</v>
      </c>
      <c r="AD138" s="20"/>
      <c r="AE138" s="24" t="s">
        <v>45</v>
      </c>
      <c r="AF138" s="19" t="s">
        <v>1176</v>
      </c>
      <c r="AG138" s="19" t="s">
        <v>46</v>
      </c>
    </row>
    <row r="139" spans="1:33" ht="83.25" customHeight="1">
      <c r="A139" s="18">
        <v>120</v>
      </c>
      <c r="B139" s="18"/>
      <c r="C139" s="62">
        <v>45901.452893518501</v>
      </c>
      <c r="D139" s="23">
        <v>45901.4766087963</v>
      </c>
      <c r="E139" s="23">
        <v>45902</v>
      </c>
      <c r="F139" s="25" t="s">
        <v>957</v>
      </c>
      <c r="G139" s="7" t="s">
        <v>958</v>
      </c>
      <c r="H139" s="7" t="s">
        <v>1177</v>
      </c>
      <c r="I139" s="7" t="s">
        <v>1178</v>
      </c>
      <c r="J139" s="7" t="s">
        <v>1179</v>
      </c>
      <c r="K139" s="21" t="s">
        <v>1180</v>
      </c>
      <c r="L139" s="7" t="s">
        <v>38</v>
      </c>
      <c r="M139" s="7" t="s">
        <v>1181</v>
      </c>
      <c r="N139" s="55"/>
      <c r="O139" s="74" t="s">
        <v>1182</v>
      </c>
      <c r="P139" s="8" t="s">
        <v>268</v>
      </c>
      <c r="Q139" s="74" t="s">
        <v>96</v>
      </c>
      <c r="R139" s="74" t="s">
        <v>96</v>
      </c>
      <c r="S139" s="8" t="s">
        <v>96</v>
      </c>
      <c r="T139" s="19"/>
      <c r="U139" s="7" t="s">
        <v>958</v>
      </c>
      <c r="V139" s="8" t="s">
        <v>1183</v>
      </c>
      <c r="W139" s="7" t="s">
        <v>42</v>
      </c>
      <c r="X139" s="23"/>
      <c r="Y139" s="25"/>
      <c r="Z139" s="7"/>
      <c r="AA139" s="53" t="s">
        <v>43</v>
      </c>
      <c r="AB139" s="7"/>
      <c r="AC139" s="53" t="s">
        <v>53</v>
      </c>
      <c r="AD139" s="20">
        <v>45902</v>
      </c>
      <c r="AE139" s="16" t="s">
        <v>621</v>
      </c>
      <c r="AF139" s="19"/>
      <c r="AG139" s="19" t="s">
        <v>46</v>
      </c>
    </row>
    <row r="140" spans="1:33" ht="83.25" customHeight="1">
      <c r="A140" s="18">
        <v>133</v>
      </c>
      <c r="B140" s="18"/>
      <c r="C140" s="62">
        <v>45922.526145833297</v>
      </c>
      <c r="D140" s="23">
        <v>45922.614409722199</v>
      </c>
      <c r="E140" s="23">
        <v>45922</v>
      </c>
      <c r="F140" s="25" t="s">
        <v>1034</v>
      </c>
      <c r="G140" s="7" t="s">
        <v>1035</v>
      </c>
      <c r="H140" s="7"/>
      <c r="I140" s="7" t="s">
        <v>1184</v>
      </c>
      <c r="J140" s="7" t="s">
        <v>1185</v>
      </c>
      <c r="K140" s="21" t="s">
        <v>1186</v>
      </c>
      <c r="L140" s="7" t="s">
        <v>38</v>
      </c>
      <c r="M140" s="81" t="s">
        <v>1187</v>
      </c>
      <c r="N140" s="55"/>
      <c r="O140" s="74" t="s">
        <v>1188</v>
      </c>
      <c r="P140" s="8" t="s">
        <v>40</v>
      </c>
      <c r="Q140" s="74" t="s">
        <v>1189</v>
      </c>
      <c r="R140" s="74" t="s">
        <v>1190</v>
      </c>
      <c r="S140" s="8" t="s">
        <v>1191</v>
      </c>
      <c r="T140" s="19"/>
      <c r="U140" s="7" t="s">
        <v>1192</v>
      </c>
      <c r="V140" s="8" t="s">
        <v>1193</v>
      </c>
      <c r="W140" s="7" t="s">
        <v>119</v>
      </c>
      <c r="X140" s="23"/>
      <c r="Y140" s="25"/>
      <c r="Z140" s="7"/>
      <c r="AA140" s="53"/>
      <c r="AB140" s="7"/>
      <c r="AC140" s="53"/>
      <c r="AD140" s="20">
        <v>45942</v>
      </c>
      <c r="AE140" s="66" t="s">
        <v>229</v>
      </c>
      <c r="AF140" s="19"/>
      <c r="AG140" s="19" t="s">
        <v>71</v>
      </c>
    </row>
    <row r="141" spans="1:33" ht="83.25" customHeight="1">
      <c r="A141" s="22">
        <v>174</v>
      </c>
      <c r="B141" s="22"/>
      <c r="C141" s="60">
        <v>45987.738634259302</v>
      </c>
      <c r="D141" s="23">
        <v>45987.744710648098</v>
      </c>
      <c r="E141" s="20">
        <f>DATE(YEAR(OfficeForms.Table[[#This Row],[Completion time]]), MONTH(OfficeForms.Table[[#This Row],[Completion time]]), DAY(OfficeForms.Table[[#This Row],[Completion time]]))</f>
        <v>45987</v>
      </c>
      <c r="F141" s="32" t="s">
        <v>541</v>
      </c>
      <c r="G141" s="3" t="s">
        <v>542</v>
      </c>
      <c r="H141" s="3" t="s">
        <v>1194</v>
      </c>
      <c r="I141" s="3" t="s">
        <v>1195</v>
      </c>
      <c r="J141" s="3" t="s">
        <v>1196</v>
      </c>
      <c r="K141" s="21" t="s">
        <v>1197</v>
      </c>
      <c r="L141" s="3" t="s">
        <v>38</v>
      </c>
      <c r="M141" s="3" t="s">
        <v>1198</v>
      </c>
      <c r="N141" s="55"/>
      <c r="O141" s="76" t="s">
        <v>1199</v>
      </c>
      <c r="P141" s="9" t="s">
        <v>1200</v>
      </c>
      <c r="Q141" s="76" t="s">
        <v>96</v>
      </c>
      <c r="R141" s="76" t="s">
        <v>1201</v>
      </c>
      <c r="S141" s="9" t="s">
        <v>372</v>
      </c>
      <c r="T141" s="9" t="s">
        <v>96</v>
      </c>
      <c r="U141" s="3" t="s">
        <v>1202</v>
      </c>
      <c r="V141" s="9" t="s">
        <v>1203</v>
      </c>
      <c r="W141" s="3" t="s">
        <v>42</v>
      </c>
      <c r="Y141" s="32"/>
      <c r="Z141" s="3"/>
      <c r="AA141" s="4"/>
      <c r="AB141" s="32" t="s">
        <v>1204</v>
      </c>
      <c r="AC141" s="53" t="s">
        <v>44</v>
      </c>
      <c r="AD141" s="1">
        <v>46020</v>
      </c>
      <c r="AE141" s="16" t="s">
        <v>621</v>
      </c>
      <c r="AF141" s="19"/>
      <c r="AG141" s="19" t="s">
        <v>71</v>
      </c>
    </row>
    <row r="142" spans="1:33" ht="83.25" customHeight="1">
      <c r="A142" s="22">
        <v>137</v>
      </c>
      <c r="B142" s="22"/>
      <c r="C142" s="60">
        <v>45925.481527777803</v>
      </c>
      <c r="D142" s="23">
        <v>45925.489814814799</v>
      </c>
      <c r="E142" s="23">
        <f>DATE(YEAR(OfficeForms.Table[[#This Row],[Completion time]]), MONTH(OfficeForms.Table[[#This Row],[Completion time]]), DAY(OfficeForms.Table[[#This Row],[Completion time]]))</f>
        <v>45925</v>
      </c>
      <c r="F142" s="32" t="s">
        <v>305</v>
      </c>
      <c r="G142" s="3" t="s">
        <v>306</v>
      </c>
      <c r="H142" s="3" t="s">
        <v>1205</v>
      </c>
      <c r="I142" s="3" t="s">
        <v>1206</v>
      </c>
      <c r="J142" s="3" t="s">
        <v>1207</v>
      </c>
      <c r="K142" s="21" t="s">
        <v>1208</v>
      </c>
      <c r="L142" s="3" t="s">
        <v>206</v>
      </c>
      <c r="M142" s="3" t="s">
        <v>1209</v>
      </c>
      <c r="N142" s="55"/>
      <c r="O142" s="76" t="s">
        <v>1210</v>
      </c>
      <c r="P142" s="9" t="s">
        <v>40</v>
      </c>
      <c r="Q142" s="76" t="s">
        <v>1211</v>
      </c>
      <c r="R142" s="76" t="s">
        <v>1212</v>
      </c>
      <c r="S142" s="9" t="s">
        <v>1213</v>
      </c>
      <c r="U142" s="3" t="s">
        <v>306</v>
      </c>
      <c r="V142" s="9" t="s">
        <v>328</v>
      </c>
      <c r="W142" s="3" t="s">
        <v>42</v>
      </c>
      <c r="Y142" s="32"/>
      <c r="Z142" s="3"/>
      <c r="AA142" s="4" t="s">
        <v>43</v>
      </c>
      <c r="AB142" s="3"/>
      <c r="AC142" s="53" t="s">
        <v>53</v>
      </c>
      <c r="AD142" s="1">
        <v>45925</v>
      </c>
      <c r="AE142" s="24" t="s">
        <v>45</v>
      </c>
      <c r="AF142" s="19"/>
      <c r="AG142" s="19" t="s">
        <v>46</v>
      </c>
    </row>
    <row r="143" spans="1:33" ht="83.25" customHeight="1">
      <c r="A143" s="18">
        <v>75</v>
      </c>
      <c r="B143" s="18"/>
      <c r="C143" s="62">
        <v>45855.927870370397</v>
      </c>
      <c r="D143" s="23">
        <v>45855.929074074098</v>
      </c>
      <c r="E143" s="23">
        <v>45856</v>
      </c>
      <c r="F143" s="7" t="s">
        <v>468</v>
      </c>
      <c r="G143" s="7" t="s">
        <v>469</v>
      </c>
      <c r="H143" s="3" t="s">
        <v>1214</v>
      </c>
      <c r="I143" s="7" t="s">
        <v>1215</v>
      </c>
      <c r="J143" s="7" t="s">
        <v>1216</v>
      </c>
      <c r="K143" s="21" t="s">
        <v>246</v>
      </c>
      <c r="L143" s="7" t="s">
        <v>38</v>
      </c>
      <c r="M143" s="7" t="s">
        <v>1217</v>
      </c>
      <c r="N143" s="55"/>
      <c r="O143" s="19">
        <v>2000</v>
      </c>
      <c r="P143" s="7" t="s">
        <v>474</v>
      </c>
      <c r="Q143" s="19">
        <v>2000</v>
      </c>
      <c r="R143" s="19">
        <v>0</v>
      </c>
      <c r="S143" s="8" t="s">
        <v>1218</v>
      </c>
      <c r="T143" s="19"/>
      <c r="U143" s="7" t="s">
        <v>1219</v>
      </c>
      <c r="V143" s="7" t="s">
        <v>1220</v>
      </c>
      <c r="W143" s="7" t="s">
        <v>119</v>
      </c>
      <c r="X143" s="23"/>
      <c r="Y143" s="25"/>
      <c r="Z143" s="7"/>
      <c r="AA143" s="53" t="s">
        <v>356</v>
      </c>
      <c r="AB143" s="7"/>
      <c r="AC143" s="53" t="s">
        <v>130</v>
      </c>
      <c r="AD143" s="20">
        <v>45875</v>
      </c>
      <c r="AE143" s="16" t="s">
        <v>621</v>
      </c>
      <c r="AF143" s="19"/>
      <c r="AG143" s="19" t="s">
        <v>71</v>
      </c>
    </row>
    <row r="144" spans="1:33" ht="83.25" customHeight="1">
      <c r="A144" s="18">
        <v>139</v>
      </c>
      <c r="B144" s="18"/>
      <c r="C144" s="62">
        <v>45925.644490740699</v>
      </c>
      <c r="D144" s="23">
        <v>45925.644861111112</v>
      </c>
      <c r="E144" s="23">
        <v>45926</v>
      </c>
      <c r="F144" s="25" t="s">
        <v>120</v>
      </c>
      <c r="G144" s="7" t="s">
        <v>1221</v>
      </c>
      <c r="H144" s="7" t="s">
        <v>1222</v>
      </c>
      <c r="I144" s="7" t="s">
        <v>1222</v>
      </c>
      <c r="J144" s="7" t="s">
        <v>1222</v>
      </c>
      <c r="K144" s="21" t="s">
        <v>1222</v>
      </c>
      <c r="L144" s="7"/>
      <c r="M144" s="7"/>
      <c r="N144" s="55"/>
      <c r="O144" s="74" t="s">
        <v>1222</v>
      </c>
      <c r="P144" s="8" t="s">
        <v>1222</v>
      </c>
      <c r="Q144" s="74" t="s">
        <v>1222</v>
      </c>
      <c r="R144" s="74" t="s">
        <v>1222</v>
      </c>
      <c r="S144" s="8" t="s">
        <v>1222</v>
      </c>
      <c r="T144" s="19"/>
      <c r="U144" s="7" t="s">
        <v>1222</v>
      </c>
      <c r="V144" s="8" t="s">
        <v>1222</v>
      </c>
      <c r="W144" s="7" t="s">
        <v>42</v>
      </c>
      <c r="X144" s="23"/>
      <c r="Y144" s="25"/>
      <c r="Z144" s="7"/>
      <c r="AA144" s="53"/>
      <c r="AB144" s="7"/>
      <c r="AC144" s="53"/>
      <c r="AD144" s="20"/>
      <c r="AE144" s="16"/>
      <c r="AF144" s="19" t="s">
        <v>1222</v>
      </c>
      <c r="AG144" s="19" t="s">
        <v>1222</v>
      </c>
    </row>
    <row r="145" spans="1:33" ht="83.25" customHeight="1">
      <c r="A145" s="18">
        <v>77</v>
      </c>
      <c r="B145" s="18"/>
      <c r="C145" s="62">
        <v>45859.818773148101</v>
      </c>
      <c r="D145" s="23">
        <v>45859.822650463</v>
      </c>
      <c r="E145" s="23">
        <v>45860</v>
      </c>
      <c r="F145" s="7" t="s">
        <v>241</v>
      </c>
      <c r="G145" s="7" t="s">
        <v>242</v>
      </c>
      <c r="H145" s="7" t="s">
        <v>1223</v>
      </c>
      <c r="I145" s="7" t="s">
        <v>1224</v>
      </c>
      <c r="J145" s="7" t="s">
        <v>1225</v>
      </c>
      <c r="K145" s="21" t="s">
        <v>246</v>
      </c>
      <c r="L145" s="7" t="s">
        <v>38</v>
      </c>
      <c r="M145" s="7" t="s">
        <v>1226</v>
      </c>
      <c r="N145" s="55"/>
      <c r="O145" s="19">
        <v>2000</v>
      </c>
      <c r="P145" s="7" t="s">
        <v>466</v>
      </c>
      <c r="Q145" s="19">
        <v>1.8</v>
      </c>
      <c r="R145" s="19">
        <v>0</v>
      </c>
      <c r="S145" s="8" t="s">
        <v>467</v>
      </c>
      <c r="T145" s="19"/>
      <c r="U145" s="7" t="s">
        <v>487</v>
      </c>
      <c r="V145" s="7" t="s">
        <v>1227</v>
      </c>
      <c r="W145" s="7" t="s">
        <v>119</v>
      </c>
      <c r="X145" s="23"/>
      <c r="Y145" s="25"/>
      <c r="Z145" s="7"/>
      <c r="AA145" s="53" t="s">
        <v>43</v>
      </c>
      <c r="AB145" s="7"/>
      <c r="AC145" s="53" t="s">
        <v>44</v>
      </c>
      <c r="AD145" s="20">
        <v>45860</v>
      </c>
      <c r="AE145" s="16" t="s">
        <v>621</v>
      </c>
      <c r="AF145" s="19"/>
      <c r="AG145" s="19" t="s">
        <v>71</v>
      </c>
    </row>
    <row r="146" spans="1:33" ht="83.25" customHeight="1">
      <c r="A146" s="22">
        <v>107</v>
      </c>
      <c r="B146" s="22"/>
      <c r="C146" s="60">
        <v>45883.676909722199</v>
      </c>
      <c r="D146" s="23">
        <v>45883.742106481499</v>
      </c>
      <c r="E146" s="23">
        <v>45883</v>
      </c>
      <c r="F146" s="3" t="s">
        <v>241</v>
      </c>
      <c r="G146" s="3" t="s">
        <v>242</v>
      </c>
      <c r="H146" s="7" t="s">
        <v>1228</v>
      </c>
      <c r="I146" s="3" t="s">
        <v>1229</v>
      </c>
      <c r="J146" s="3" t="s">
        <v>1229</v>
      </c>
      <c r="K146" s="21" t="s">
        <v>246</v>
      </c>
      <c r="L146" s="3" t="s">
        <v>38</v>
      </c>
      <c r="M146" s="3" t="s">
        <v>1230</v>
      </c>
      <c r="N146" s="55"/>
      <c r="O146" s="76" t="s">
        <v>700</v>
      </c>
      <c r="P146" s="9" t="s">
        <v>466</v>
      </c>
      <c r="Q146" s="76" t="s">
        <v>1231</v>
      </c>
      <c r="R146" s="76" t="s">
        <v>117</v>
      </c>
      <c r="S146" s="9" t="s">
        <v>1232</v>
      </c>
      <c r="U146" s="3" t="s">
        <v>242</v>
      </c>
      <c r="V146" s="3" t="s">
        <v>1233</v>
      </c>
      <c r="W146" s="3" t="s">
        <v>119</v>
      </c>
      <c r="Y146" s="32"/>
      <c r="Z146" s="3"/>
      <c r="AA146" s="4" t="s">
        <v>43</v>
      </c>
      <c r="AB146" s="3"/>
      <c r="AC146" s="53" t="s">
        <v>130</v>
      </c>
      <c r="AD146" s="1">
        <v>45889</v>
      </c>
      <c r="AE146" s="16" t="s">
        <v>621</v>
      </c>
      <c r="AF146" s="19"/>
      <c r="AG146" s="19" t="s">
        <v>71</v>
      </c>
    </row>
    <row r="147" spans="1:33" ht="83.25" customHeight="1">
      <c r="A147" s="18">
        <v>178</v>
      </c>
      <c r="B147" s="18"/>
      <c r="C147" s="62">
        <v>46001.025752314803</v>
      </c>
      <c r="D147" s="23">
        <v>46001.037974537001</v>
      </c>
      <c r="E147" s="20">
        <f>DATE(YEAR(OfficeForms.Table[[#This Row],[Completion time]]), MONTH(OfficeForms.Table[[#This Row],[Completion time]]), DAY(OfficeForms.Table[[#This Row],[Completion time]]))</f>
        <v>46001</v>
      </c>
      <c r="F147" s="25" t="s">
        <v>1234</v>
      </c>
      <c r="G147" s="7" t="s">
        <v>1235</v>
      </c>
      <c r="H147" s="7" t="s">
        <v>1236</v>
      </c>
      <c r="I147" s="7" t="s">
        <v>1237</v>
      </c>
      <c r="J147" s="7" t="s">
        <v>1238</v>
      </c>
      <c r="K147" s="21" t="s">
        <v>246</v>
      </c>
      <c r="L147" s="7" t="s">
        <v>38</v>
      </c>
      <c r="M147" s="7" t="s">
        <v>1239</v>
      </c>
      <c r="N147" s="55"/>
      <c r="O147" s="74" t="s">
        <v>1240</v>
      </c>
      <c r="P147" s="8" t="s">
        <v>466</v>
      </c>
      <c r="Q147" s="74" t="s">
        <v>1241</v>
      </c>
      <c r="R147" s="74" t="s">
        <v>1242</v>
      </c>
      <c r="S147" s="8" t="s">
        <v>1243</v>
      </c>
      <c r="T147" s="8" t="s">
        <v>1244</v>
      </c>
      <c r="U147" s="7" t="s">
        <v>1235</v>
      </c>
      <c r="V147" s="8" t="s">
        <v>1245</v>
      </c>
      <c r="W147" s="7" t="s">
        <v>119</v>
      </c>
      <c r="X147" s="23"/>
      <c r="Y147" s="25"/>
      <c r="Z147" s="7"/>
      <c r="AA147" s="53"/>
      <c r="AB147" s="25"/>
      <c r="AC147" s="53" t="s">
        <v>153</v>
      </c>
      <c r="AD147" s="20">
        <v>46003</v>
      </c>
      <c r="AE147" s="16" t="s">
        <v>621</v>
      </c>
      <c r="AF147" s="19" t="s">
        <v>1246</v>
      </c>
      <c r="AG147" s="19" t="s">
        <v>646</v>
      </c>
    </row>
    <row r="148" spans="1:33" ht="83.25" customHeight="1">
      <c r="A148" s="18">
        <v>143</v>
      </c>
      <c r="B148" s="18"/>
      <c r="C148" s="62">
        <v>45930.037349537</v>
      </c>
      <c r="D148" s="23">
        <v>45930.037569444401</v>
      </c>
      <c r="E148" s="23">
        <v>45930</v>
      </c>
      <c r="F148" s="25" t="s">
        <v>241</v>
      </c>
      <c r="G148" s="7" t="s">
        <v>242</v>
      </c>
      <c r="H148" s="7" t="s">
        <v>1247</v>
      </c>
      <c r="I148" s="7" t="s">
        <v>1248</v>
      </c>
      <c r="J148" s="7" t="s">
        <v>1249</v>
      </c>
      <c r="K148" s="21" t="s">
        <v>938</v>
      </c>
      <c r="L148" s="7" t="s">
        <v>206</v>
      </c>
      <c r="M148" s="7" t="s">
        <v>1250</v>
      </c>
      <c r="N148" s="55"/>
      <c r="O148" s="74" t="s">
        <v>930</v>
      </c>
      <c r="P148" s="8" t="s">
        <v>466</v>
      </c>
      <c r="Q148" s="74" t="s">
        <v>1251</v>
      </c>
      <c r="R148" s="74" t="s">
        <v>1252</v>
      </c>
      <c r="S148" s="8" t="s">
        <v>372</v>
      </c>
      <c r="T148" s="19"/>
      <c r="U148" s="7" t="s">
        <v>242</v>
      </c>
      <c r="V148" s="8" t="s">
        <v>1253</v>
      </c>
      <c r="W148" s="7" t="s">
        <v>119</v>
      </c>
      <c r="X148" s="23"/>
      <c r="Y148" s="25"/>
      <c r="Z148" s="7"/>
      <c r="AA148" s="53" t="s">
        <v>43</v>
      </c>
      <c r="AB148" s="7"/>
      <c r="AC148" s="53" t="s">
        <v>44</v>
      </c>
      <c r="AD148" s="20">
        <v>45933</v>
      </c>
      <c r="AE148" s="16" t="s">
        <v>45</v>
      </c>
      <c r="AF148" s="19" t="s">
        <v>1254</v>
      </c>
      <c r="AG148" s="19" t="s">
        <v>46</v>
      </c>
    </row>
    <row r="149" spans="1:33" ht="83.25" customHeight="1">
      <c r="A149" s="18">
        <v>144</v>
      </c>
      <c r="B149" s="18"/>
      <c r="C149" s="62">
        <v>45933.416469907403</v>
      </c>
      <c r="D149" s="23">
        <v>45933.509675925903</v>
      </c>
      <c r="E149" s="23">
        <f>DATE(YEAR(OfficeForms.Table[[#This Row],[Completion time]]), MONTH(OfficeForms.Table[[#This Row],[Completion time]]), DAY(OfficeForms.Table[[#This Row],[Completion time]]))</f>
        <v>45933</v>
      </c>
      <c r="F149" s="25" t="s">
        <v>305</v>
      </c>
      <c r="G149" s="7" t="s">
        <v>306</v>
      </c>
      <c r="H149" s="7" t="s">
        <v>1255</v>
      </c>
      <c r="I149" s="7" t="s">
        <v>1256</v>
      </c>
      <c r="J149" s="7" t="s">
        <v>1257</v>
      </c>
      <c r="K149" s="21" t="s">
        <v>332</v>
      </c>
      <c r="L149" s="64" t="s">
        <v>346</v>
      </c>
      <c r="M149" s="7" t="s">
        <v>1258</v>
      </c>
      <c r="N149" s="55" t="s">
        <v>1259</v>
      </c>
      <c r="O149" s="74" t="s">
        <v>1260</v>
      </c>
      <c r="P149" s="8" t="s">
        <v>40</v>
      </c>
      <c r="Q149" s="74" t="s">
        <v>1261</v>
      </c>
      <c r="R149" s="74" t="s">
        <v>1262</v>
      </c>
      <c r="S149" s="8" t="s">
        <v>1263</v>
      </c>
      <c r="T149" s="19"/>
      <c r="U149" s="7" t="s">
        <v>306</v>
      </c>
      <c r="V149" s="8" t="s">
        <v>328</v>
      </c>
      <c r="W149" s="7" t="s">
        <v>42</v>
      </c>
      <c r="X149" s="23"/>
      <c r="Y149" s="25"/>
      <c r="Z149" s="7"/>
      <c r="AA149" s="53" t="s">
        <v>43</v>
      </c>
      <c r="AB149" s="7"/>
      <c r="AC149" s="53" t="s">
        <v>53</v>
      </c>
      <c r="AD149" s="20"/>
      <c r="AE149" s="16" t="s">
        <v>45</v>
      </c>
      <c r="AF149" s="19"/>
      <c r="AG149" s="19" t="s">
        <v>46</v>
      </c>
    </row>
    <row r="150" spans="1:33" ht="83.25" customHeight="1">
      <c r="A150" s="22">
        <v>145</v>
      </c>
      <c r="B150" s="22"/>
      <c r="C150" s="60">
        <v>45936.680509259299</v>
      </c>
      <c r="D150" s="23">
        <v>45936.693113425899</v>
      </c>
      <c r="E150" s="23"/>
      <c r="F150" s="32" t="s">
        <v>186</v>
      </c>
      <c r="G150" s="3" t="s">
        <v>47</v>
      </c>
      <c r="H150" s="3" t="s">
        <v>1264</v>
      </c>
      <c r="I150" s="3" t="s">
        <v>1265</v>
      </c>
      <c r="J150" s="3" t="s">
        <v>1265</v>
      </c>
      <c r="K150" s="21" t="s">
        <v>1266</v>
      </c>
      <c r="L150" s="3" t="s">
        <v>346</v>
      </c>
      <c r="M150" s="3" t="s">
        <v>1267</v>
      </c>
      <c r="N150" s="55"/>
      <c r="O150" s="76" t="s">
        <v>616</v>
      </c>
      <c r="P150" s="9" t="s">
        <v>40</v>
      </c>
      <c r="Q150" s="76" t="s">
        <v>1268</v>
      </c>
      <c r="R150" s="76" t="s">
        <v>96</v>
      </c>
      <c r="S150" s="9" t="s">
        <v>1269</v>
      </c>
      <c r="U150" s="3" t="s">
        <v>47</v>
      </c>
      <c r="V150" s="9" t="s">
        <v>1270</v>
      </c>
      <c r="W150" s="3" t="s">
        <v>42</v>
      </c>
      <c r="Y150" s="32"/>
      <c r="Z150" s="3"/>
      <c r="AA150" s="4" t="s">
        <v>43</v>
      </c>
      <c r="AB150" s="3"/>
      <c r="AC150" s="53" t="s">
        <v>53</v>
      </c>
      <c r="AD150" s="1">
        <v>45938</v>
      </c>
      <c r="AE150" s="24" t="s">
        <v>45</v>
      </c>
      <c r="AF150" s="19"/>
      <c r="AG150" s="19" t="s">
        <v>46</v>
      </c>
    </row>
    <row r="151" spans="1:33" ht="83.25" customHeight="1">
      <c r="A151" s="18">
        <v>146</v>
      </c>
      <c r="B151" s="18"/>
      <c r="C151" s="62">
        <v>45936.711018518501</v>
      </c>
      <c r="D151" s="23">
        <v>45936.723344907397</v>
      </c>
      <c r="E151" s="23">
        <v>45937</v>
      </c>
      <c r="F151" s="25" t="s">
        <v>1271</v>
      </c>
      <c r="G151" s="7" t="s">
        <v>550</v>
      </c>
      <c r="H151" s="7" t="s">
        <v>1272</v>
      </c>
      <c r="I151" s="7" t="s">
        <v>1273</v>
      </c>
      <c r="J151" s="7" t="s">
        <v>1274</v>
      </c>
      <c r="K151" s="21" t="s">
        <v>1275</v>
      </c>
      <c r="L151" s="7" t="s">
        <v>38</v>
      </c>
      <c r="M151" s="7" t="s">
        <v>1276</v>
      </c>
      <c r="N151" s="55"/>
      <c r="O151" s="75">
        <v>110000</v>
      </c>
      <c r="P151" s="8" t="s">
        <v>40</v>
      </c>
      <c r="Q151" s="74" t="s">
        <v>1277</v>
      </c>
      <c r="R151" s="74" t="s">
        <v>1278</v>
      </c>
      <c r="S151" s="8" t="s">
        <v>1279</v>
      </c>
      <c r="T151" s="19"/>
      <c r="U151" s="7" t="s">
        <v>1280</v>
      </c>
      <c r="V151" s="8" t="s">
        <v>1281</v>
      </c>
      <c r="W151" s="7" t="s">
        <v>152</v>
      </c>
      <c r="X151" s="23">
        <v>45952</v>
      </c>
      <c r="Y151" s="25"/>
      <c r="Z151" s="7"/>
      <c r="AA151" s="53" t="s">
        <v>43</v>
      </c>
      <c r="AB151" s="7"/>
      <c r="AC151" s="53" t="s">
        <v>44</v>
      </c>
      <c r="AD151" s="20">
        <v>45937</v>
      </c>
      <c r="AE151" s="16" t="s">
        <v>45</v>
      </c>
      <c r="AF151" s="19"/>
      <c r="AG151" s="19" t="s">
        <v>46</v>
      </c>
    </row>
    <row r="152" spans="1:33" ht="83.25" customHeight="1">
      <c r="A152" s="18">
        <v>105</v>
      </c>
      <c r="B152" s="18"/>
      <c r="C152" s="62">
        <v>45882.629097222198</v>
      </c>
      <c r="D152" s="23">
        <v>45882.652222222197</v>
      </c>
      <c r="E152" s="23">
        <v>45883</v>
      </c>
      <c r="F152" s="7" t="s">
        <v>350</v>
      </c>
      <c r="G152" s="7" t="s">
        <v>55</v>
      </c>
      <c r="H152" s="7" t="s">
        <v>1282</v>
      </c>
      <c r="I152" s="7" t="s">
        <v>1283</v>
      </c>
      <c r="J152" s="7" t="s">
        <v>1284</v>
      </c>
      <c r="K152" s="21" t="s">
        <v>1285</v>
      </c>
      <c r="L152" s="7" t="s">
        <v>38</v>
      </c>
      <c r="M152" s="7" t="s">
        <v>1286</v>
      </c>
      <c r="N152" s="55" t="s">
        <v>1287</v>
      </c>
      <c r="O152" s="74" t="s">
        <v>1288</v>
      </c>
      <c r="P152" s="8" t="s">
        <v>40</v>
      </c>
      <c r="Q152" s="74" t="s">
        <v>1289</v>
      </c>
      <c r="R152" s="74" t="s">
        <v>96</v>
      </c>
      <c r="S152" s="8" t="s">
        <v>1290</v>
      </c>
      <c r="T152" s="19"/>
      <c r="U152" s="7" t="s">
        <v>55</v>
      </c>
      <c r="V152" s="7" t="s">
        <v>1291</v>
      </c>
      <c r="W152" s="7" t="s">
        <v>42</v>
      </c>
      <c r="X152" s="23"/>
      <c r="Y152" s="25"/>
      <c r="Z152" s="7"/>
      <c r="AA152" s="53" t="s">
        <v>43</v>
      </c>
      <c r="AB152" s="7"/>
      <c r="AC152" s="53" t="s">
        <v>416</v>
      </c>
      <c r="AD152" s="20">
        <v>45894</v>
      </c>
      <c r="AE152" s="16" t="s">
        <v>621</v>
      </c>
      <c r="AF152" s="19"/>
      <c r="AG152" s="19" t="s">
        <v>71</v>
      </c>
    </row>
    <row r="153" spans="1:33" ht="83.25" customHeight="1">
      <c r="A153" s="22">
        <v>148</v>
      </c>
      <c r="B153" s="22"/>
      <c r="C153" s="60">
        <v>45940.799837963001</v>
      </c>
      <c r="D153" s="23">
        <v>45940.800543981502</v>
      </c>
      <c r="E153" s="23">
        <f>DATE(YEAR(OfficeForms.Table[[#This Row],[Completion time]]), MONTH(OfficeForms.Table[[#This Row],[Completion time]]), DAY(OfficeForms.Table[[#This Row],[Completion time]]))</f>
        <v>45940</v>
      </c>
      <c r="F153" s="32" t="s">
        <v>155</v>
      </c>
      <c r="G153" s="3" t="s">
        <v>121</v>
      </c>
      <c r="H153" s="3" t="s">
        <v>1292</v>
      </c>
      <c r="I153" s="3" t="s">
        <v>1293</v>
      </c>
      <c r="J153" s="3" t="s">
        <v>1293</v>
      </c>
      <c r="K153" s="21" t="s">
        <v>1294</v>
      </c>
      <c r="L153" s="3" t="s">
        <v>38</v>
      </c>
      <c r="M153" s="3" t="s">
        <v>1295</v>
      </c>
      <c r="N153" s="55"/>
      <c r="O153" s="76" t="s">
        <v>1155</v>
      </c>
      <c r="P153" s="9" t="s">
        <v>171</v>
      </c>
      <c r="Q153" s="76" t="s">
        <v>117</v>
      </c>
      <c r="R153" s="76" t="s">
        <v>117</v>
      </c>
      <c r="S153" s="9" t="s">
        <v>1296</v>
      </c>
      <c r="U153" s="3" t="s">
        <v>1297</v>
      </c>
      <c r="V153" s="9" t="s">
        <v>171</v>
      </c>
      <c r="W153" s="3" t="s">
        <v>119</v>
      </c>
      <c r="Y153" s="32"/>
      <c r="Z153" s="3"/>
      <c r="AA153" s="4" t="s">
        <v>43</v>
      </c>
      <c r="AB153" s="3"/>
      <c r="AC153" s="53" t="s">
        <v>130</v>
      </c>
      <c r="AD153" s="1">
        <v>45944</v>
      </c>
      <c r="AE153" s="24" t="s">
        <v>45</v>
      </c>
      <c r="AF153" s="19" t="s">
        <v>1298</v>
      </c>
      <c r="AG153" s="19" t="s">
        <v>910</v>
      </c>
    </row>
    <row r="154" spans="1:33" ht="83.25" customHeight="1">
      <c r="A154" s="18">
        <v>149</v>
      </c>
      <c r="B154" s="18"/>
      <c r="C154" s="62">
        <v>45940.800787036998</v>
      </c>
      <c r="D154" s="23">
        <v>45940.802094907398</v>
      </c>
      <c r="E154" s="23">
        <f>DATE(YEAR(OfficeForms.Table[[#This Row],[Completion time]]), MONTH(OfficeForms.Table[[#This Row],[Completion time]]), DAY(OfficeForms.Table[[#This Row],[Completion time]]))</f>
        <v>45940</v>
      </c>
      <c r="F154" s="25" t="s">
        <v>155</v>
      </c>
      <c r="G154" s="7" t="s">
        <v>121</v>
      </c>
      <c r="H154" s="7" t="s">
        <v>1299</v>
      </c>
      <c r="I154" s="7" t="s">
        <v>1300</v>
      </c>
      <c r="J154" s="7" t="s">
        <v>1301</v>
      </c>
      <c r="K154" s="21" t="s">
        <v>1302</v>
      </c>
      <c r="L154" s="7" t="s">
        <v>38</v>
      </c>
      <c r="M154" s="7" t="s">
        <v>1303</v>
      </c>
      <c r="N154" s="55"/>
      <c r="O154" s="74" t="s">
        <v>1128</v>
      </c>
      <c r="P154" s="8" t="s">
        <v>171</v>
      </c>
      <c r="Q154" s="74" t="s">
        <v>117</v>
      </c>
      <c r="R154" s="74" t="s">
        <v>117</v>
      </c>
      <c r="S154" s="8" t="s">
        <v>1304</v>
      </c>
      <c r="T154" s="19"/>
      <c r="U154" s="7" t="s">
        <v>172</v>
      </c>
      <c r="V154" s="8" t="s">
        <v>1305</v>
      </c>
      <c r="W154" s="7" t="s">
        <v>119</v>
      </c>
      <c r="X154" s="23"/>
      <c r="Y154" s="25"/>
      <c r="Z154" s="7"/>
      <c r="AA154" s="53" t="s">
        <v>356</v>
      </c>
      <c r="AB154" s="7"/>
      <c r="AC154" s="53" t="s">
        <v>130</v>
      </c>
      <c r="AD154" s="20">
        <v>45988</v>
      </c>
      <c r="AE154" s="16" t="s">
        <v>45</v>
      </c>
      <c r="AF154" s="19" t="s">
        <v>1298</v>
      </c>
      <c r="AG154" s="19" t="s">
        <v>71</v>
      </c>
    </row>
    <row r="155" spans="1:33" ht="83.25" customHeight="1">
      <c r="A155" s="18">
        <v>163</v>
      </c>
      <c r="B155" s="18"/>
      <c r="C155" s="62">
        <v>45965.672222222202</v>
      </c>
      <c r="D155" s="23">
        <v>45965.680393518502</v>
      </c>
      <c r="E155" s="20">
        <v>45966</v>
      </c>
      <c r="F155" s="25" t="s">
        <v>350</v>
      </c>
      <c r="G155" s="7" t="s">
        <v>55</v>
      </c>
      <c r="H155" s="7" t="s">
        <v>1306</v>
      </c>
      <c r="I155" s="7" t="s">
        <v>1307</v>
      </c>
      <c r="J155" s="7" t="s">
        <v>1308</v>
      </c>
      <c r="K155" s="21" t="s">
        <v>1285</v>
      </c>
      <c r="L155" s="7" t="s">
        <v>38</v>
      </c>
      <c r="M155" s="7" t="s">
        <v>1309</v>
      </c>
      <c r="N155" s="55"/>
      <c r="O155" s="74" t="s">
        <v>1288</v>
      </c>
      <c r="P155" s="8" t="s">
        <v>40</v>
      </c>
      <c r="Q155" s="74" t="s">
        <v>1310</v>
      </c>
      <c r="R155" s="74" t="s">
        <v>1311</v>
      </c>
      <c r="S155" s="8" t="s">
        <v>1312</v>
      </c>
      <c r="T155" s="7" t="s">
        <v>96</v>
      </c>
      <c r="U155" s="7" t="s">
        <v>55</v>
      </c>
      <c r="V155" s="8" t="s">
        <v>151</v>
      </c>
      <c r="W155" s="7" t="s">
        <v>42</v>
      </c>
      <c r="X155" s="23"/>
      <c r="Y155" s="25"/>
      <c r="Z155" s="7"/>
      <c r="AA155" s="53"/>
      <c r="AB155" s="7"/>
      <c r="AC155" s="53" t="s">
        <v>44</v>
      </c>
      <c r="AD155" s="20">
        <v>45967</v>
      </c>
      <c r="AE155" s="16" t="s">
        <v>621</v>
      </c>
      <c r="AF155" s="19"/>
      <c r="AG155" s="19" t="s">
        <v>71</v>
      </c>
    </row>
    <row r="156" spans="1:33" ht="83.25" customHeight="1">
      <c r="A156" s="22">
        <v>151</v>
      </c>
      <c r="B156" s="18"/>
      <c r="C156" s="60">
        <v>45951.470706018503</v>
      </c>
      <c r="D156" s="17">
        <v>45951.480613425898</v>
      </c>
      <c r="E156" s="1">
        <v>45951</v>
      </c>
      <c r="F156" s="32" t="s">
        <v>1313</v>
      </c>
      <c r="G156" s="3" t="s">
        <v>90</v>
      </c>
      <c r="H156" s="3" t="s">
        <v>1314</v>
      </c>
      <c r="I156" s="3" t="s">
        <v>1315</v>
      </c>
      <c r="J156" s="3" t="s">
        <v>1315</v>
      </c>
      <c r="K156" s="21" t="s">
        <v>1316</v>
      </c>
      <c r="L156" s="3" t="s">
        <v>38</v>
      </c>
      <c r="M156" s="3" t="s">
        <v>1317</v>
      </c>
      <c r="N156" s="55"/>
      <c r="O156" s="76" t="s">
        <v>1318</v>
      </c>
      <c r="P156" s="9" t="s">
        <v>268</v>
      </c>
      <c r="Q156" s="76" t="s">
        <v>1319</v>
      </c>
      <c r="R156" s="76" t="s">
        <v>96</v>
      </c>
      <c r="S156" s="9" t="s">
        <v>1320</v>
      </c>
      <c r="U156" s="3" t="s">
        <v>1321</v>
      </c>
      <c r="V156" s="9" t="s">
        <v>1322</v>
      </c>
      <c r="W156" s="3" t="s">
        <v>152</v>
      </c>
      <c r="X156" s="17">
        <v>45986</v>
      </c>
      <c r="Y156" s="32"/>
      <c r="Z156" s="3"/>
      <c r="AA156" s="4" t="s">
        <v>43</v>
      </c>
      <c r="AB156" s="3"/>
      <c r="AC156" s="53" t="s">
        <v>44</v>
      </c>
      <c r="AD156" s="1">
        <v>45952</v>
      </c>
      <c r="AE156" s="24" t="s">
        <v>45</v>
      </c>
      <c r="AF156" s="19"/>
      <c r="AG156" s="19" t="s">
        <v>46</v>
      </c>
    </row>
    <row r="157" spans="1:33" ht="83.25" customHeight="1">
      <c r="A157" s="18">
        <v>152</v>
      </c>
      <c r="B157" s="18"/>
      <c r="C157" s="62">
        <v>45951.472118055601</v>
      </c>
      <c r="D157" s="23">
        <v>45951.502037036997</v>
      </c>
      <c r="E157" s="20">
        <v>45951</v>
      </c>
      <c r="F157" s="25" t="s">
        <v>1271</v>
      </c>
      <c r="G157" s="7" t="s">
        <v>550</v>
      </c>
      <c r="H157" s="7" t="s">
        <v>1323</v>
      </c>
      <c r="I157" s="7" t="s">
        <v>1324</v>
      </c>
      <c r="J157" s="7" t="s">
        <v>1325</v>
      </c>
      <c r="K157" s="21" t="s">
        <v>1275</v>
      </c>
      <c r="L157" s="7" t="s">
        <v>60</v>
      </c>
      <c r="M157" s="7" t="s">
        <v>1326</v>
      </c>
      <c r="N157" s="55"/>
      <c r="O157" s="75">
        <v>11000</v>
      </c>
      <c r="P157" s="8" t="s">
        <v>40</v>
      </c>
      <c r="Q157" s="74" t="s">
        <v>96</v>
      </c>
      <c r="R157" s="74" t="s">
        <v>1327</v>
      </c>
      <c r="S157" s="8" t="s">
        <v>1328</v>
      </c>
      <c r="T157" s="19"/>
      <c r="U157" s="7" t="s">
        <v>550</v>
      </c>
      <c r="V157" s="8" t="s">
        <v>1329</v>
      </c>
      <c r="W157" s="7" t="s">
        <v>42</v>
      </c>
      <c r="X157" s="23"/>
      <c r="Y157" s="25"/>
      <c r="Z157" s="7"/>
      <c r="AA157" s="53" t="s">
        <v>43</v>
      </c>
      <c r="AB157" s="7"/>
      <c r="AC157" s="53" t="s">
        <v>44</v>
      </c>
      <c r="AD157" s="20">
        <v>45953</v>
      </c>
      <c r="AE157" s="16" t="s">
        <v>45</v>
      </c>
      <c r="AF157" s="19" t="s">
        <v>1330</v>
      </c>
      <c r="AG157" s="19" t="s">
        <v>132</v>
      </c>
    </row>
    <row r="158" spans="1:33" ht="83.25" customHeight="1">
      <c r="A158" s="18">
        <v>153</v>
      </c>
      <c r="B158" s="18"/>
      <c r="C158" s="62">
        <v>45952.751284722202</v>
      </c>
      <c r="D158" s="23">
        <v>45952.755972222199</v>
      </c>
      <c r="E158" s="20">
        <v>45953</v>
      </c>
      <c r="F158" s="25" t="s">
        <v>1034</v>
      </c>
      <c r="G158" s="7" t="s">
        <v>1035</v>
      </c>
      <c r="H158" s="7" t="s">
        <v>1331</v>
      </c>
      <c r="I158" s="7" t="s">
        <v>1331</v>
      </c>
      <c r="J158" s="7" t="s">
        <v>1332</v>
      </c>
      <c r="K158" s="21" t="s">
        <v>1333</v>
      </c>
      <c r="L158" s="7" t="s">
        <v>206</v>
      </c>
      <c r="M158" s="7" t="s">
        <v>1334</v>
      </c>
      <c r="N158" s="55"/>
      <c r="O158" s="74" t="s">
        <v>1335</v>
      </c>
      <c r="P158" s="8" t="s">
        <v>40</v>
      </c>
      <c r="Q158" s="74" t="s">
        <v>1336</v>
      </c>
      <c r="R158" s="74" t="s">
        <v>1337</v>
      </c>
      <c r="S158" s="8" t="s">
        <v>1338</v>
      </c>
      <c r="T158" s="19"/>
      <c r="U158" s="7" t="s">
        <v>1339</v>
      </c>
      <c r="V158" s="8" t="s">
        <v>1340</v>
      </c>
      <c r="W158" s="7" t="s">
        <v>119</v>
      </c>
      <c r="X158" s="23"/>
      <c r="Y158" s="25"/>
      <c r="Z158" s="7"/>
      <c r="AA158" s="53" t="s">
        <v>43</v>
      </c>
      <c r="AB158" s="7"/>
      <c r="AC158" s="53" t="s">
        <v>416</v>
      </c>
      <c r="AD158" s="59"/>
      <c r="AE158" s="16" t="s">
        <v>45</v>
      </c>
      <c r="AF158" s="19" t="s">
        <v>1341</v>
      </c>
      <c r="AG158" s="19" t="s">
        <v>132</v>
      </c>
    </row>
    <row r="159" spans="1:33" ht="83.25" customHeight="1">
      <c r="A159" s="18">
        <v>154</v>
      </c>
      <c r="B159" s="18"/>
      <c r="C159" s="62">
        <v>45954.469849537003</v>
      </c>
      <c r="D159" s="23">
        <v>45954.480624999997</v>
      </c>
      <c r="E159" s="20">
        <v>45954</v>
      </c>
      <c r="F159" s="25" t="s">
        <v>1342</v>
      </c>
      <c r="G159" s="7" t="s">
        <v>703</v>
      </c>
      <c r="H159" s="7" t="s">
        <v>1343</v>
      </c>
      <c r="I159" s="7" t="s">
        <v>1343</v>
      </c>
      <c r="J159" s="7" t="s">
        <v>1344</v>
      </c>
      <c r="K159" s="21" t="s">
        <v>1345</v>
      </c>
      <c r="L159" s="7" t="s">
        <v>38</v>
      </c>
      <c r="M159" s="7" t="s">
        <v>1346</v>
      </c>
      <c r="N159" s="55" t="s">
        <v>1347</v>
      </c>
      <c r="O159" s="74" t="s">
        <v>1348</v>
      </c>
      <c r="P159" s="8" t="s">
        <v>40</v>
      </c>
      <c r="Q159" s="74" t="s">
        <v>1349</v>
      </c>
      <c r="R159" s="74" t="s">
        <v>1350</v>
      </c>
      <c r="S159" s="8" t="s">
        <v>1351</v>
      </c>
      <c r="T159" s="19"/>
      <c r="U159" s="7" t="s">
        <v>703</v>
      </c>
      <c r="V159" s="8" t="s">
        <v>1352</v>
      </c>
      <c r="W159" s="7" t="s">
        <v>152</v>
      </c>
      <c r="X159" s="23">
        <v>45992</v>
      </c>
      <c r="Y159" s="25"/>
      <c r="Z159" s="7"/>
      <c r="AA159" s="53" t="s">
        <v>43</v>
      </c>
      <c r="AB159" s="7"/>
      <c r="AC159" s="53" t="s">
        <v>44</v>
      </c>
      <c r="AD159" s="20">
        <v>45957</v>
      </c>
      <c r="AE159" s="16" t="s">
        <v>45</v>
      </c>
      <c r="AF159" s="19"/>
      <c r="AG159" s="19" t="s">
        <v>46</v>
      </c>
    </row>
    <row r="160" spans="1:33" ht="83.25" customHeight="1">
      <c r="A160" s="18">
        <v>155</v>
      </c>
      <c r="B160" s="18"/>
      <c r="C160" s="62">
        <v>45958.075590277796</v>
      </c>
      <c r="D160" s="23">
        <v>45958.077326388899</v>
      </c>
      <c r="E160" s="20">
        <v>45958</v>
      </c>
      <c r="F160" s="25" t="s">
        <v>826</v>
      </c>
      <c r="G160" s="7" t="s">
        <v>827</v>
      </c>
      <c r="H160" s="7" t="s">
        <v>1353</v>
      </c>
      <c r="I160" s="7" t="s">
        <v>1354</v>
      </c>
      <c r="J160" s="7" t="s">
        <v>1354</v>
      </c>
      <c r="K160" s="21" t="s">
        <v>1355</v>
      </c>
      <c r="L160" s="7" t="s">
        <v>38</v>
      </c>
      <c r="M160" s="7" t="s">
        <v>1356</v>
      </c>
      <c r="N160" s="55"/>
      <c r="O160" s="74" t="s">
        <v>726</v>
      </c>
      <c r="P160" s="8" t="s">
        <v>834</v>
      </c>
      <c r="Q160" s="74" t="s">
        <v>80</v>
      </c>
      <c r="R160" s="74" t="s">
        <v>80</v>
      </c>
      <c r="S160" s="8" t="s">
        <v>1357</v>
      </c>
      <c r="T160" s="19"/>
      <c r="U160" s="7" t="s">
        <v>1358</v>
      </c>
      <c r="V160" s="8" t="s">
        <v>1359</v>
      </c>
      <c r="W160" s="7" t="s">
        <v>119</v>
      </c>
      <c r="X160" s="23"/>
      <c r="Y160" s="25"/>
      <c r="Z160" s="7"/>
      <c r="AA160" s="53" t="s">
        <v>43</v>
      </c>
      <c r="AB160" s="7"/>
      <c r="AC160" s="53" t="s">
        <v>53</v>
      </c>
      <c r="AD160" s="20">
        <v>45958</v>
      </c>
      <c r="AE160" s="16" t="s">
        <v>45</v>
      </c>
      <c r="AF160" s="19"/>
      <c r="AG160" s="19" t="s">
        <v>46</v>
      </c>
    </row>
    <row r="161" spans="1:33" ht="83.25" customHeight="1">
      <c r="A161" s="18">
        <v>156</v>
      </c>
      <c r="B161" s="18"/>
      <c r="C161" s="62">
        <v>45958.629907407398</v>
      </c>
      <c r="D161" s="23">
        <v>45958.632569444402</v>
      </c>
      <c r="E161" s="20">
        <v>45958</v>
      </c>
      <c r="F161" s="25" t="s">
        <v>711</v>
      </c>
      <c r="G161" s="7" t="s">
        <v>712</v>
      </c>
      <c r="H161" s="7"/>
      <c r="I161" s="7" t="s">
        <v>1360</v>
      </c>
      <c r="J161" s="7" t="s">
        <v>1361</v>
      </c>
      <c r="K161" s="21" t="s">
        <v>1362</v>
      </c>
      <c r="L161" s="7" t="s">
        <v>38</v>
      </c>
      <c r="M161" s="7"/>
      <c r="N161" s="55"/>
      <c r="O161" s="74" t="s">
        <v>930</v>
      </c>
      <c r="P161" s="8" t="s">
        <v>148</v>
      </c>
      <c r="Q161" s="74" t="s">
        <v>1155</v>
      </c>
      <c r="R161" s="74" t="s">
        <v>1363</v>
      </c>
      <c r="S161" s="8" t="s">
        <v>1364</v>
      </c>
      <c r="T161" s="19"/>
      <c r="U161" s="7" t="s">
        <v>712</v>
      </c>
      <c r="V161" s="8" t="s">
        <v>1365</v>
      </c>
      <c r="W161" s="7" t="s">
        <v>119</v>
      </c>
      <c r="X161" s="23"/>
      <c r="Y161" s="25"/>
      <c r="Z161" s="7"/>
      <c r="AA161" s="53"/>
      <c r="AB161" s="7"/>
      <c r="AC161" s="53"/>
      <c r="AD161" s="20">
        <v>45960</v>
      </c>
      <c r="AE161" s="16" t="s">
        <v>229</v>
      </c>
      <c r="AF161" s="19"/>
      <c r="AG161" s="19" t="s">
        <v>46</v>
      </c>
    </row>
    <row r="162" spans="1:33" ht="83.25" customHeight="1">
      <c r="A162" s="18">
        <v>159</v>
      </c>
      <c r="B162" s="18"/>
      <c r="C162" s="62">
        <v>45960.727500000001</v>
      </c>
      <c r="D162" s="23">
        <v>45960.729641203703</v>
      </c>
      <c r="E162" s="20">
        <v>45961</v>
      </c>
      <c r="F162" s="25" t="s">
        <v>305</v>
      </c>
      <c r="G162" s="7" t="s">
        <v>306</v>
      </c>
      <c r="H162" s="7" t="s">
        <v>1366</v>
      </c>
      <c r="I162" s="7" t="s">
        <v>1367</v>
      </c>
      <c r="J162" s="7" t="s">
        <v>1368</v>
      </c>
      <c r="K162" s="21" t="s">
        <v>1369</v>
      </c>
      <c r="L162" s="7" t="s">
        <v>38</v>
      </c>
      <c r="M162" s="7" t="s">
        <v>1370</v>
      </c>
      <c r="N162" s="55" t="s">
        <v>1371</v>
      </c>
      <c r="O162" s="74" t="s">
        <v>1188</v>
      </c>
      <c r="P162" s="8" t="s">
        <v>40</v>
      </c>
      <c r="Q162" s="74" t="s">
        <v>916</v>
      </c>
      <c r="R162" s="74" t="s">
        <v>1372</v>
      </c>
      <c r="S162" s="8" t="s">
        <v>1373</v>
      </c>
      <c r="T162" s="7" t="s">
        <v>96</v>
      </c>
      <c r="U162" s="7" t="s">
        <v>306</v>
      </c>
      <c r="V162" s="8" t="s">
        <v>328</v>
      </c>
      <c r="W162" s="7" t="s">
        <v>42</v>
      </c>
      <c r="X162" s="23"/>
      <c r="Y162" s="25"/>
      <c r="Z162" s="7"/>
      <c r="AA162" s="53" t="s">
        <v>43</v>
      </c>
      <c r="AB162" s="7"/>
      <c r="AC162" s="53" t="s">
        <v>53</v>
      </c>
      <c r="AD162" s="20">
        <v>45966</v>
      </c>
      <c r="AE162" s="16" t="s">
        <v>45</v>
      </c>
      <c r="AF162" s="19"/>
      <c r="AG162" s="19" t="s">
        <v>46</v>
      </c>
    </row>
    <row r="163" spans="1:33" ht="77.25" customHeight="1">
      <c r="A163" s="18">
        <v>160</v>
      </c>
      <c r="B163" s="18"/>
      <c r="C163" s="62">
        <v>45961.639930555597</v>
      </c>
      <c r="D163" s="23">
        <v>45961.644432870402</v>
      </c>
      <c r="E163" s="20">
        <f>DATE(YEAR(OfficeForms.Table[[#This Row],[Completion time]]), MONTH(OfficeForms.Table[[#This Row],[Completion time]]), DAY(OfficeForms.Table[[#This Row],[Completion time]]))</f>
        <v>45961</v>
      </c>
      <c r="F163" s="25" t="s">
        <v>251</v>
      </c>
      <c r="G163" s="7" t="s">
        <v>252</v>
      </c>
      <c r="H163" s="7"/>
      <c r="I163" s="7" t="s">
        <v>1374</v>
      </c>
      <c r="J163" s="7" t="s">
        <v>1374</v>
      </c>
      <c r="K163" s="21" t="s">
        <v>345</v>
      </c>
      <c r="L163" s="7" t="s">
        <v>38</v>
      </c>
      <c r="M163" s="7"/>
      <c r="N163" s="55"/>
      <c r="O163" s="74" t="s">
        <v>726</v>
      </c>
      <c r="P163" s="8" t="s">
        <v>40</v>
      </c>
      <c r="Q163" s="74" t="s">
        <v>1375</v>
      </c>
      <c r="R163" s="74" t="s">
        <v>1376</v>
      </c>
      <c r="S163" s="8" t="s">
        <v>1377</v>
      </c>
      <c r="T163" s="7" t="s">
        <v>432</v>
      </c>
      <c r="U163" s="7" t="s">
        <v>252</v>
      </c>
      <c r="V163" s="8" t="s">
        <v>1378</v>
      </c>
      <c r="W163" s="7" t="s">
        <v>152</v>
      </c>
      <c r="X163" s="23">
        <v>45971</v>
      </c>
      <c r="Y163" s="25"/>
      <c r="Z163" s="7"/>
      <c r="AA163" s="53"/>
      <c r="AB163" s="7"/>
      <c r="AC163" s="53"/>
      <c r="AD163" s="20">
        <v>45961</v>
      </c>
      <c r="AE163" s="16" t="s">
        <v>229</v>
      </c>
      <c r="AF163" s="19"/>
      <c r="AG163" s="19"/>
    </row>
    <row r="164" spans="1:33" ht="83.25" customHeight="1">
      <c r="A164" s="22">
        <v>191</v>
      </c>
      <c r="B164" s="18"/>
      <c r="C164" s="60">
        <v>46034.703136574099</v>
      </c>
      <c r="D164" s="17">
        <v>46034.7097222222</v>
      </c>
      <c r="E164" s="1">
        <f>DATE(YEAR(OfficeForms.Table[[#This Row],[Completion time]]), MONTH(OfficeForms.Table[[#This Row],[Completion time]]), DAY(OfficeForms.Table[[#This Row],[Completion time]]))</f>
        <v>46034</v>
      </c>
      <c r="F164" s="32" t="s">
        <v>350</v>
      </c>
      <c r="G164" s="3" t="s">
        <v>55</v>
      </c>
      <c r="H164" s="3" t="s">
        <v>1379</v>
      </c>
      <c r="I164" s="3" t="s">
        <v>1380</v>
      </c>
      <c r="J164" s="3" t="s">
        <v>1381</v>
      </c>
      <c r="K164" s="21" t="s">
        <v>1285</v>
      </c>
      <c r="L164" s="3" t="s">
        <v>60</v>
      </c>
      <c r="M164" s="92" t="s">
        <v>1382</v>
      </c>
      <c r="N164" s="55"/>
      <c r="O164" s="76" t="s">
        <v>1288</v>
      </c>
      <c r="P164" s="9" t="s">
        <v>40</v>
      </c>
      <c r="Q164" s="76" t="s">
        <v>1383</v>
      </c>
      <c r="R164" s="76" t="s">
        <v>117</v>
      </c>
      <c r="S164" s="9" t="s">
        <v>1384</v>
      </c>
      <c r="T164" s="8" t="s">
        <v>96</v>
      </c>
      <c r="U164" s="3" t="s">
        <v>55</v>
      </c>
      <c r="V164" s="9" t="s">
        <v>151</v>
      </c>
      <c r="W164" s="3" t="s">
        <v>42</v>
      </c>
      <c r="Y164" s="32"/>
      <c r="Z164" s="3"/>
      <c r="AA164" s="4"/>
      <c r="AB164" s="32"/>
      <c r="AC164" s="53" t="s">
        <v>416</v>
      </c>
      <c r="AD164" s="1">
        <v>46041</v>
      </c>
      <c r="AE164" s="24" t="s">
        <v>621</v>
      </c>
      <c r="AF164" s="19"/>
      <c r="AG164" s="19" t="s">
        <v>657</v>
      </c>
    </row>
    <row r="165" spans="1:33" ht="83.25" customHeight="1">
      <c r="A165" s="22">
        <v>162</v>
      </c>
      <c r="B165" s="18"/>
      <c r="C165" s="60">
        <v>45965.670937499999</v>
      </c>
      <c r="D165" s="17">
        <v>45965.673599537004</v>
      </c>
      <c r="E165" s="1">
        <v>45966</v>
      </c>
      <c r="F165" s="32" t="s">
        <v>1002</v>
      </c>
      <c r="G165" s="3" t="s">
        <v>1003</v>
      </c>
      <c r="H165" s="3" t="s">
        <v>1385</v>
      </c>
      <c r="I165" s="3" t="s">
        <v>1386</v>
      </c>
      <c r="J165" s="3" t="s">
        <v>1387</v>
      </c>
      <c r="K165" s="21" t="s">
        <v>137</v>
      </c>
      <c r="L165" s="3" t="s">
        <v>346</v>
      </c>
      <c r="M165" s="3" t="s">
        <v>1388</v>
      </c>
      <c r="N165" s="55" t="s">
        <v>1389</v>
      </c>
      <c r="O165" s="76" t="s">
        <v>1390</v>
      </c>
      <c r="P165" s="9" t="s">
        <v>1391</v>
      </c>
      <c r="Q165" s="76" t="s">
        <v>1392</v>
      </c>
      <c r="R165" s="76" t="s">
        <v>1393</v>
      </c>
      <c r="S165" s="9" t="s">
        <v>1394</v>
      </c>
      <c r="T165" s="7" t="s">
        <v>96</v>
      </c>
      <c r="U165" s="3" t="s">
        <v>1395</v>
      </c>
      <c r="V165" s="9" t="s">
        <v>1396</v>
      </c>
      <c r="W165" s="3" t="s">
        <v>119</v>
      </c>
      <c r="Y165" s="32"/>
      <c r="Z165" s="3"/>
      <c r="AA165" s="4" t="s">
        <v>609</v>
      </c>
      <c r="AB165" s="32" t="s">
        <v>129</v>
      </c>
      <c r="AC165" s="53" t="s">
        <v>130</v>
      </c>
      <c r="AD165" s="58"/>
      <c r="AE165" s="24" t="s">
        <v>45</v>
      </c>
      <c r="AF165" s="19"/>
      <c r="AG165" s="19" t="s">
        <v>46</v>
      </c>
    </row>
    <row r="166" spans="1:33" ht="19.5" customHeight="1">
      <c r="A166" s="22"/>
      <c r="B166" s="18"/>
      <c r="D166" s="17"/>
      <c r="E166" s="1">
        <f>DATE(YEAR(OfficeForms.Table[[#This Row],[Completion time]]), MONTH(OfficeForms.Table[[#This Row],[Completion time]]), DAY(OfficeForms.Table[[#This Row],[Completion time]]))</f>
        <v>0</v>
      </c>
      <c r="F166" s="32"/>
      <c r="G166" s="3"/>
      <c r="H166" s="3"/>
      <c r="I166" s="3"/>
      <c r="J166" s="3"/>
      <c r="K166" s="21"/>
      <c r="L166" s="3"/>
      <c r="M166" s="3"/>
      <c r="N166" s="55"/>
      <c r="O166" s="76"/>
      <c r="P166" s="9"/>
      <c r="Q166" s="76"/>
      <c r="R166" s="76"/>
      <c r="S166" s="9"/>
      <c r="T166" s="7"/>
      <c r="U166" s="3"/>
      <c r="V166" s="9"/>
      <c r="W166" s="3"/>
      <c r="Y166" s="32"/>
      <c r="Z166" s="3"/>
      <c r="AA166" s="4"/>
      <c r="AB166" s="32"/>
      <c r="AC166" s="53"/>
      <c r="AD166" s="58"/>
      <c r="AE166" s="24"/>
      <c r="AF166" s="19"/>
      <c r="AG166" s="19"/>
    </row>
    <row r="167" spans="1:33" ht="83.25" customHeight="1">
      <c r="A167" s="22">
        <v>213</v>
      </c>
      <c r="B167" s="18"/>
      <c r="C167" s="60">
        <v>46080.715856481504</v>
      </c>
      <c r="D167" s="17">
        <v>46080.725462962997</v>
      </c>
      <c r="E167" s="1">
        <f>DATE(YEAR(OfficeForms.Table[[#This Row],[Completion time]]), MONTH(OfficeForms.Table[[#This Row],[Completion time]]), DAY(OfficeForms.Table[[#This Row],[Completion time]]))</f>
        <v>46080</v>
      </c>
      <c r="F167" s="32" t="s">
        <v>241</v>
      </c>
      <c r="G167" s="3" t="s">
        <v>242</v>
      </c>
      <c r="H167" s="3" t="s">
        <v>1397</v>
      </c>
      <c r="I167" s="3" t="s">
        <v>1398</v>
      </c>
      <c r="J167" s="3" t="s">
        <v>1399</v>
      </c>
      <c r="K167" s="21" t="s">
        <v>1400</v>
      </c>
      <c r="L167" s="3" t="s">
        <v>38</v>
      </c>
      <c r="M167" s="3" t="s">
        <v>1401</v>
      </c>
      <c r="N167" s="55"/>
      <c r="O167" s="76" t="s">
        <v>80</v>
      </c>
      <c r="P167" s="9" t="s">
        <v>1402</v>
      </c>
      <c r="Q167" s="76" t="s">
        <v>80</v>
      </c>
      <c r="R167" s="76" t="s">
        <v>80</v>
      </c>
      <c r="S167" s="9" t="s">
        <v>847</v>
      </c>
      <c r="T167" s="8" t="s">
        <v>1403</v>
      </c>
      <c r="U167" s="3" t="s">
        <v>487</v>
      </c>
      <c r="V167" s="9" t="s">
        <v>646</v>
      </c>
      <c r="W167" s="3" t="s">
        <v>119</v>
      </c>
      <c r="Y167" s="32"/>
      <c r="Z167" s="3"/>
      <c r="AA167" s="4"/>
      <c r="AB167" s="32"/>
      <c r="AC167" s="53"/>
      <c r="AD167" s="1">
        <v>46083</v>
      </c>
      <c r="AE167" s="24" t="s">
        <v>621</v>
      </c>
      <c r="AF167" s="19"/>
      <c r="AG167" s="19" t="s">
        <v>46</v>
      </c>
    </row>
    <row r="168" spans="1:33" ht="83.25" customHeight="1">
      <c r="A168" s="18">
        <v>164</v>
      </c>
      <c r="B168" s="18"/>
      <c r="C168" s="62">
        <v>45965.683287036998</v>
      </c>
      <c r="D168" s="23">
        <v>45965.691400463002</v>
      </c>
      <c r="E168" s="20">
        <v>45966</v>
      </c>
      <c r="F168" s="25" t="s">
        <v>1271</v>
      </c>
      <c r="G168" s="7" t="s">
        <v>550</v>
      </c>
      <c r="H168" s="7" t="s">
        <v>1404</v>
      </c>
      <c r="I168" s="7" t="s">
        <v>1405</v>
      </c>
      <c r="J168" s="7" t="s">
        <v>1406</v>
      </c>
      <c r="K168" s="21" t="s">
        <v>1275</v>
      </c>
      <c r="L168" s="7" t="s">
        <v>38</v>
      </c>
      <c r="M168" s="7" t="s">
        <v>1407</v>
      </c>
      <c r="N168" s="55" t="s">
        <v>1408</v>
      </c>
      <c r="O168" s="75">
        <v>11000</v>
      </c>
      <c r="P168" s="8" t="s">
        <v>40</v>
      </c>
      <c r="Q168" s="74" t="s">
        <v>1409</v>
      </c>
      <c r="R168" s="74" t="s">
        <v>1410</v>
      </c>
      <c r="S168" s="8" t="s">
        <v>1411</v>
      </c>
      <c r="T168" s="7" t="s">
        <v>846</v>
      </c>
      <c r="U168" s="7" t="s">
        <v>550</v>
      </c>
      <c r="V168" s="8" t="s">
        <v>1412</v>
      </c>
      <c r="W168" s="7" t="s">
        <v>152</v>
      </c>
      <c r="X168" s="23">
        <v>45966</v>
      </c>
      <c r="Y168" s="25"/>
      <c r="Z168" s="7"/>
      <c r="AA168" s="53" t="s">
        <v>356</v>
      </c>
      <c r="AB168" s="25" t="s">
        <v>129</v>
      </c>
      <c r="AC168" s="53" t="s">
        <v>44</v>
      </c>
      <c r="AD168" s="59"/>
      <c r="AE168" s="16" t="s">
        <v>45</v>
      </c>
      <c r="AF168" s="19"/>
      <c r="AG168" s="19" t="s">
        <v>46</v>
      </c>
    </row>
    <row r="169" spans="1:33" ht="83.25" customHeight="1">
      <c r="A169" s="18">
        <v>138</v>
      </c>
      <c r="B169" s="18"/>
      <c r="C169" s="62">
        <v>45925.510046296302</v>
      </c>
      <c r="D169" s="23">
        <v>45925.534062500003</v>
      </c>
      <c r="E169" s="23">
        <v>45925</v>
      </c>
      <c r="F169" s="25" t="s">
        <v>1342</v>
      </c>
      <c r="G169" s="7" t="s">
        <v>703</v>
      </c>
      <c r="H169" s="7" t="s">
        <v>1413</v>
      </c>
      <c r="I169" s="7" t="s">
        <v>1414</v>
      </c>
      <c r="J169" s="7" t="s">
        <v>1415</v>
      </c>
      <c r="K169" s="21" t="s">
        <v>1416</v>
      </c>
      <c r="L169" s="7" t="s">
        <v>38</v>
      </c>
      <c r="M169" s="7"/>
      <c r="N169" s="55"/>
      <c r="O169" s="74" t="s">
        <v>1173</v>
      </c>
      <c r="P169" s="8" t="s">
        <v>499</v>
      </c>
      <c r="Q169" s="74" t="s">
        <v>1417</v>
      </c>
      <c r="R169" s="74" t="s">
        <v>1418</v>
      </c>
      <c r="S169" s="8" t="s">
        <v>1419</v>
      </c>
      <c r="T169" s="19"/>
      <c r="U169" s="7" t="s">
        <v>703</v>
      </c>
      <c r="V169" s="8" t="s">
        <v>1420</v>
      </c>
      <c r="W169" s="7" t="s">
        <v>152</v>
      </c>
      <c r="X169" s="23">
        <v>45985</v>
      </c>
      <c r="Y169" s="25"/>
      <c r="Z169" s="7"/>
      <c r="AA169" s="53" t="s">
        <v>43</v>
      </c>
      <c r="AB169" s="7"/>
      <c r="AC169" s="53" t="s">
        <v>44</v>
      </c>
      <c r="AD169" s="20">
        <v>45926</v>
      </c>
      <c r="AE169" s="16" t="s">
        <v>621</v>
      </c>
      <c r="AF169" s="19"/>
      <c r="AG169" s="19" t="s">
        <v>730</v>
      </c>
    </row>
    <row r="170" spans="1:33" ht="83.25" customHeight="1">
      <c r="A170" s="18">
        <v>166</v>
      </c>
      <c r="B170" s="18"/>
      <c r="C170" s="62">
        <v>45968.402974536999</v>
      </c>
      <c r="D170" s="23">
        <v>45968.404618055603</v>
      </c>
      <c r="E170" s="20">
        <f>DATE(YEAR(OfficeForms.Table[[#This Row],[Completion time]]), MONTH(OfficeForms.Table[[#This Row],[Completion time]]), DAY(OfficeForms.Table[[#This Row],[Completion time]]))</f>
        <v>45968</v>
      </c>
      <c r="F170" s="25" t="s">
        <v>468</v>
      </c>
      <c r="G170" s="7" t="s">
        <v>469</v>
      </c>
      <c r="H170" s="7" t="s">
        <v>1421</v>
      </c>
      <c r="I170" s="7" t="s">
        <v>1422</v>
      </c>
      <c r="J170" s="7" t="s">
        <v>1423</v>
      </c>
      <c r="K170" s="21" t="s">
        <v>1197</v>
      </c>
      <c r="L170" s="7" t="s">
        <v>206</v>
      </c>
      <c r="M170" s="7" t="s">
        <v>1424</v>
      </c>
      <c r="N170" s="55"/>
      <c r="O170" s="74" t="s">
        <v>1425</v>
      </c>
      <c r="P170" s="8" t="s">
        <v>474</v>
      </c>
      <c r="Q170" s="74" t="s">
        <v>1426</v>
      </c>
      <c r="R170" s="74" t="s">
        <v>1427</v>
      </c>
      <c r="S170" s="8" t="s">
        <v>1428</v>
      </c>
      <c r="T170" s="7" t="s">
        <v>1429</v>
      </c>
      <c r="U170" s="7" t="s">
        <v>469</v>
      </c>
      <c r="V170" s="8" t="s">
        <v>151</v>
      </c>
      <c r="W170" s="7" t="s">
        <v>152</v>
      </c>
      <c r="X170" s="23">
        <v>45985</v>
      </c>
      <c r="Y170" s="25"/>
      <c r="Z170" s="7"/>
      <c r="AA170" s="53"/>
      <c r="AB170" s="25"/>
      <c r="AC170" s="53" t="s">
        <v>416</v>
      </c>
      <c r="AD170" s="20">
        <v>45971</v>
      </c>
      <c r="AE170" s="16" t="s">
        <v>82</v>
      </c>
      <c r="AF170" s="19"/>
      <c r="AG170" s="19" t="s">
        <v>132</v>
      </c>
    </row>
    <row r="171" spans="1:33" ht="83.25" customHeight="1">
      <c r="A171" s="18">
        <v>167</v>
      </c>
      <c r="B171" s="18"/>
      <c r="C171" s="62">
        <v>45968.628495370402</v>
      </c>
      <c r="D171" s="23">
        <v>45968.633611111101</v>
      </c>
      <c r="E171" s="59">
        <f>DATE(YEAR(OfficeForms.Table[[#This Row],[Completion time]]), MONTH(OfficeForms.Table[[#This Row],[Completion time]]), DAY(OfficeForms.Table[[#This Row],[Completion time]]))</f>
        <v>45968</v>
      </c>
      <c r="F171" s="25" t="s">
        <v>1034</v>
      </c>
      <c r="G171" s="7" t="s">
        <v>1035</v>
      </c>
      <c r="H171" s="7" t="s">
        <v>1430</v>
      </c>
      <c r="I171" s="7" t="s">
        <v>1430</v>
      </c>
      <c r="J171" s="7" t="s">
        <v>1431</v>
      </c>
      <c r="K171" s="21" t="s">
        <v>799</v>
      </c>
      <c r="L171" s="7" t="s">
        <v>346</v>
      </c>
      <c r="M171" s="7" t="s">
        <v>1432</v>
      </c>
      <c r="N171" s="55"/>
      <c r="O171" s="74" t="s">
        <v>1433</v>
      </c>
      <c r="P171" s="8" t="s">
        <v>1434</v>
      </c>
      <c r="Q171" s="74" t="s">
        <v>1435</v>
      </c>
      <c r="R171" s="74" t="s">
        <v>1436</v>
      </c>
      <c r="S171" s="8" t="s">
        <v>1437</v>
      </c>
      <c r="T171" s="7" t="s">
        <v>96</v>
      </c>
      <c r="U171" s="7" t="s">
        <v>1438</v>
      </c>
      <c r="V171" s="8" t="s">
        <v>1439</v>
      </c>
      <c r="W171" s="7" t="s">
        <v>119</v>
      </c>
      <c r="X171" s="23"/>
      <c r="Y171" s="25" t="s">
        <v>129</v>
      </c>
      <c r="Z171" s="7"/>
      <c r="AA171" s="53" t="s">
        <v>609</v>
      </c>
      <c r="AB171" s="25"/>
      <c r="AC171" s="53" t="s">
        <v>416</v>
      </c>
      <c r="AD171" s="20"/>
      <c r="AE171" s="16" t="s">
        <v>45</v>
      </c>
      <c r="AF171" s="19" t="s">
        <v>1440</v>
      </c>
      <c r="AG171" s="19" t="s">
        <v>46</v>
      </c>
    </row>
    <row r="172" spans="1:33" ht="83.25" customHeight="1">
      <c r="A172" s="18">
        <v>114</v>
      </c>
      <c r="B172" s="18"/>
      <c r="C172" s="62">
        <v>45896.410972222198</v>
      </c>
      <c r="D172" s="23">
        <v>45896.434849537</v>
      </c>
      <c r="E172" s="23">
        <f>DATE(YEAR(OfficeForms.Table[[#This Row],[Completion time]]), MONTH(OfficeForms.Table[[#This Row],[Completion time]]), DAY(OfficeForms.Table[[#This Row],[Completion time]]))</f>
        <v>45896</v>
      </c>
      <c r="F172" s="31" t="s">
        <v>186</v>
      </c>
      <c r="G172" s="7" t="s">
        <v>47</v>
      </c>
      <c r="H172" s="7" t="s">
        <v>1441</v>
      </c>
      <c r="I172" s="7" t="s">
        <v>1442</v>
      </c>
      <c r="J172" s="7" t="s">
        <v>1443</v>
      </c>
      <c r="K172" s="21" t="s">
        <v>1444</v>
      </c>
      <c r="L172" s="7" t="s">
        <v>38</v>
      </c>
      <c r="M172" s="7" t="s">
        <v>1445</v>
      </c>
      <c r="N172" s="79"/>
      <c r="O172" s="74" t="s">
        <v>833</v>
      </c>
      <c r="P172" s="8" t="s">
        <v>40</v>
      </c>
      <c r="Q172" s="74" t="s">
        <v>738</v>
      </c>
      <c r="R172" s="74" t="s">
        <v>1446</v>
      </c>
      <c r="S172" s="8" t="s">
        <v>1447</v>
      </c>
      <c r="T172" s="19"/>
      <c r="U172" s="7" t="s">
        <v>47</v>
      </c>
      <c r="V172" s="8" t="s">
        <v>1448</v>
      </c>
      <c r="W172" s="7" t="s">
        <v>42</v>
      </c>
      <c r="X172" s="23"/>
      <c r="Y172" s="31"/>
      <c r="Z172" s="7"/>
      <c r="AA172" s="53" t="s">
        <v>43</v>
      </c>
      <c r="AB172" s="7"/>
      <c r="AC172" s="53" t="s">
        <v>44</v>
      </c>
      <c r="AD172" s="20">
        <v>45887</v>
      </c>
      <c r="AE172" s="16" t="s">
        <v>621</v>
      </c>
      <c r="AF172" s="19"/>
      <c r="AG172" s="19" t="s">
        <v>730</v>
      </c>
    </row>
    <row r="173" spans="1:33" ht="83.25" customHeight="1">
      <c r="A173" s="18">
        <v>169</v>
      </c>
      <c r="B173" s="18"/>
      <c r="C173" s="62">
        <v>45973.679918981499</v>
      </c>
      <c r="D173" s="23">
        <v>45973.681446759299</v>
      </c>
      <c r="E173" s="20">
        <f>DATE(YEAR(OfficeForms.Table[[#This Row],[Completion time]]), MONTH(OfficeForms.Table[[#This Row],[Completion time]]), DAY(OfficeForms.Table[[#This Row],[Completion time]]))</f>
        <v>45973</v>
      </c>
      <c r="F173" s="25" t="s">
        <v>967</v>
      </c>
      <c r="G173" s="7" t="s">
        <v>968</v>
      </c>
      <c r="H173" s="7" t="s">
        <v>1449</v>
      </c>
      <c r="I173" s="7" t="s">
        <v>1450</v>
      </c>
      <c r="J173" s="7" t="s">
        <v>1451</v>
      </c>
      <c r="K173" s="21" t="s">
        <v>1452</v>
      </c>
      <c r="L173" s="7" t="s">
        <v>38</v>
      </c>
      <c r="M173" s="7" t="s">
        <v>1453</v>
      </c>
      <c r="N173" s="55"/>
      <c r="O173" s="74" t="s">
        <v>1155</v>
      </c>
      <c r="P173" s="8" t="s">
        <v>40</v>
      </c>
      <c r="Q173" s="74" t="s">
        <v>1454</v>
      </c>
      <c r="R173" s="74" t="s">
        <v>1455</v>
      </c>
      <c r="S173" s="8" t="s">
        <v>1456</v>
      </c>
      <c r="T173" s="7" t="s">
        <v>96</v>
      </c>
      <c r="U173" s="7" t="s">
        <v>968</v>
      </c>
      <c r="V173" s="8" t="s">
        <v>588</v>
      </c>
      <c r="W173" s="7" t="s">
        <v>42</v>
      </c>
      <c r="X173" s="23"/>
      <c r="Y173" s="25" t="s">
        <v>129</v>
      </c>
      <c r="Z173" s="7"/>
      <c r="AA173" s="53" t="s">
        <v>43</v>
      </c>
      <c r="AB173" s="25"/>
      <c r="AC173" s="53" t="s">
        <v>153</v>
      </c>
      <c r="AD173" s="20">
        <v>45981</v>
      </c>
      <c r="AE173" s="16" t="s">
        <v>259</v>
      </c>
      <c r="AF173" s="70" t="s">
        <v>1457</v>
      </c>
      <c r="AG173" s="19" t="s">
        <v>1458</v>
      </c>
    </row>
    <row r="174" spans="1:33" ht="83.25" customHeight="1">
      <c r="A174" s="18">
        <v>170</v>
      </c>
      <c r="B174" s="18"/>
      <c r="C174" s="62">
        <v>45974.031770833302</v>
      </c>
      <c r="D174" s="23">
        <v>45974.036030092597</v>
      </c>
      <c r="E174" s="20">
        <f>DATE(YEAR(OfficeForms.Table[[#This Row],[Completion time]]), MONTH(OfficeForms.Table[[#This Row],[Completion time]]), DAY(OfficeForms.Table[[#This Row],[Completion time]]))</f>
        <v>45974</v>
      </c>
      <c r="F174" s="25" t="s">
        <v>468</v>
      </c>
      <c r="G174" s="7" t="s">
        <v>469</v>
      </c>
      <c r="H174" s="7" t="s">
        <v>1459</v>
      </c>
      <c r="I174" s="7" t="s">
        <v>1460</v>
      </c>
      <c r="J174" s="7" t="s">
        <v>1461</v>
      </c>
      <c r="K174" s="21" t="s">
        <v>1462</v>
      </c>
      <c r="L174" s="7" t="s">
        <v>38</v>
      </c>
      <c r="M174" s="7" t="s">
        <v>1463</v>
      </c>
      <c r="N174" s="55" t="s">
        <v>1464</v>
      </c>
      <c r="O174" s="74" t="s">
        <v>902</v>
      </c>
      <c r="P174" s="8" t="s">
        <v>268</v>
      </c>
      <c r="Q174" s="74" t="s">
        <v>80</v>
      </c>
      <c r="R174" s="74" t="s">
        <v>1465</v>
      </c>
      <c r="S174" s="8" t="s">
        <v>1466</v>
      </c>
      <c r="T174" s="8" t="s">
        <v>80</v>
      </c>
      <c r="U174" s="7" t="s">
        <v>469</v>
      </c>
      <c r="V174" s="8" t="s">
        <v>1467</v>
      </c>
      <c r="W174" s="7" t="s">
        <v>119</v>
      </c>
      <c r="X174" s="23"/>
      <c r="Y174" s="25"/>
      <c r="Z174" s="7"/>
      <c r="AA174" s="53" t="s">
        <v>43</v>
      </c>
      <c r="AB174" s="25"/>
      <c r="AC174" s="53" t="s">
        <v>53</v>
      </c>
      <c r="AD174" s="59"/>
      <c r="AE174" s="16" t="s">
        <v>45</v>
      </c>
      <c r="AF174" s="19" t="s">
        <v>1468</v>
      </c>
      <c r="AG174" s="19" t="s">
        <v>71</v>
      </c>
    </row>
    <row r="175" spans="1:33" ht="83.25" customHeight="1">
      <c r="A175" s="18">
        <v>210</v>
      </c>
      <c r="B175" s="18"/>
      <c r="C175" s="62">
        <v>46079.776238425897</v>
      </c>
      <c r="D175" s="23">
        <v>46079.777997685203</v>
      </c>
      <c r="E175" s="20">
        <f>DATE(YEAR(OfficeForms.Table[[#This Row],[Completion time]]), MONTH(OfficeForms.Table[[#This Row],[Completion time]]), DAY(OfficeForms.Table[[#This Row],[Completion time]]))</f>
        <v>46079</v>
      </c>
      <c r="F175" s="25" t="s">
        <v>468</v>
      </c>
      <c r="G175" s="7" t="s">
        <v>469</v>
      </c>
      <c r="H175" s="7" t="s">
        <v>1469</v>
      </c>
      <c r="I175" s="7" t="s">
        <v>1470</v>
      </c>
      <c r="J175" s="7" t="s">
        <v>1471</v>
      </c>
      <c r="K175" s="21" t="s">
        <v>1472</v>
      </c>
      <c r="L175" s="7" t="s">
        <v>38</v>
      </c>
      <c r="M175" s="86" t="s">
        <v>1473</v>
      </c>
      <c r="N175" s="55"/>
      <c r="O175" s="74" t="s">
        <v>885</v>
      </c>
      <c r="P175" s="8" t="s">
        <v>474</v>
      </c>
      <c r="Q175" s="74" t="s">
        <v>96</v>
      </c>
      <c r="R175" s="74" t="s">
        <v>117</v>
      </c>
      <c r="S175" s="8" t="s">
        <v>249</v>
      </c>
      <c r="T175" s="8" t="s">
        <v>1474</v>
      </c>
      <c r="U175" s="7" t="s">
        <v>1235</v>
      </c>
      <c r="V175" s="8" t="s">
        <v>1475</v>
      </c>
      <c r="W175" s="7" t="s">
        <v>119</v>
      </c>
      <c r="X175" s="23"/>
      <c r="Y175" s="25"/>
      <c r="Z175" s="7"/>
      <c r="AA175" s="53"/>
      <c r="AB175" s="25"/>
      <c r="AC175" s="53"/>
      <c r="AD175" s="20">
        <v>46080</v>
      </c>
      <c r="AE175" s="16" t="s">
        <v>621</v>
      </c>
      <c r="AF175" s="19"/>
      <c r="AG175" s="19" t="s">
        <v>132</v>
      </c>
    </row>
    <row r="176" spans="1:33" ht="83.25" customHeight="1">
      <c r="A176" s="18">
        <v>192</v>
      </c>
      <c r="B176" s="18"/>
      <c r="C176" s="62">
        <v>46043.509780092601</v>
      </c>
      <c r="D176" s="23">
        <v>46043.512476851902</v>
      </c>
      <c r="E176" s="20">
        <f>DATE(YEAR(OfficeForms.Table[[#This Row],[Completion time]]), MONTH(OfficeForms.Table[[#This Row],[Completion time]]), DAY(OfficeForms.Table[[#This Row],[Completion time]]))</f>
        <v>46043</v>
      </c>
      <c r="F176" s="25" t="s">
        <v>1034</v>
      </c>
      <c r="G176" s="7" t="s">
        <v>1035</v>
      </c>
      <c r="H176" s="7" t="s">
        <v>1476</v>
      </c>
      <c r="I176" s="7" t="s">
        <v>1477</v>
      </c>
      <c r="J176" s="7" t="s">
        <v>1478</v>
      </c>
      <c r="K176" s="21" t="s">
        <v>1479</v>
      </c>
      <c r="L176" s="7" t="s">
        <v>38</v>
      </c>
      <c r="M176" s="86" t="s">
        <v>1480</v>
      </c>
      <c r="N176" s="55"/>
      <c r="O176" s="74" t="s">
        <v>1481</v>
      </c>
      <c r="P176" s="8" t="s">
        <v>40</v>
      </c>
      <c r="Q176" s="74" t="s">
        <v>1482</v>
      </c>
      <c r="R176" s="74" t="s">
        <v>1483</v>
      </c>
      <c r="S176" s="8" t="s">
        <v>1484</v>
      </c>
      <c r="T176" s="8" t="s">
        <v>96</v>
      </c>
      <c r="U176" s="7" t="s">
        <v>1485</v>
      </c>
      <c r="V176" s="8" t="s">
        <v>1486</v>
      </c>
      <c r="W176" s="7" t="s">
        <v>119</v>
      </c>
      <c r="X176" s="23"/>
      <c r="Y176" s="25"/>
      <c r="Z176" s="7"/>
      <c r="AA176" s="53"/>
      <c r="AB176" s="25"/>
      <c r="AC176" s="53" t="s">
        <v>416</v>
      </c>
      <c r="AD176" s="20">
        <v>46049</v>
      </c>
      <c r="AE176" s="16" t="s">
        <v>621</v>
      </c>
      <c r="AF176" s="19"/>
      <c r="AG176" s="19" t="s">
        <v>46</v>
      </c>
    </row>
    <row r="177" spans="1:33" ht="83.25" customHeight="1">
      <c r="A177" s="18">
        <v>173</v>
      </c>
      <c r="B177" s="18"/>
      <c r="C177" s="62">
        <v>45980.871469907397</v>
      </c>
      <c r="D177" s="23">
        <v>45980.931608796302</v>
      </c>
      <c r="E177" s="20">
        <f>DATE(YEAR(OfficeForms.Table[[#This Row],[Completion time]]), MONTH(OfficeForms.Table[[#This Row],[Completion time]]), DAY(OfficeForms.Table[[#This Row],[Completion time]]))</f>
        <v>45980</v>
      </c>
      <c r="F177" s="25" t="s">
        <v>241</v>
      </c>
      <c r="G177" s="7" t="s">
        <v>242</v>
      </c>
      <c r="H177" s="7" t="s">
        <v>1487</v>
      </c>
      <c r="I177" s="7" t="s">
        <v>1488</v>
      </c>
      <c r="J177" s="7" t="s">
        <v>1489</v>
      </c>
      <c r="K177" s="21" t="s">
        <v>484</v>
      </c>
      <c r="L177" s="7" t="s">
        <v>38</v>
      </c>
      <c r="M177" s="7" t="s">
        <v>1490</v>
      </c>
      <c r="N177" s="55"/>
      <c r="O177" s="74" t="s">
        <v>801</v>
      </c>
      <c r="P177" s="8" t="s">
        <v>834</v>
      </c>
      <c r="Q177" s="74" t="s">
        <v>1491</v>
      </c>
      <c r="R177" s="74" t="s">
        <v>80</v>
      </c>
      <c r="S177" s="8" t="s">
        <v>372</v>
      </c>
      <c r="T177" s="8" t="s">
        <v>1492</v>
      </c>
      <c r="U177" s="7" t="s">
        <v>242</v>
      </c>
      <c r="V177" s="8" t="s">
        <v>1493</v>
      </c>
      <c r="W177" s="7" t="s">
        <v>119</v>
      </c>
      <c r="X177" s="23"/>
      <c r="Y177" s="25"/>
      <c r="Z177" s="7"/>
      <c r="AA177" s="53" t="s">
        <v>43</v>
      </c>
      <c r="AB177" s="25"/>
      <c r="AC177" s="53" t="s">
        <v>416</v>
      </c>
      <c r="AD177" s="20">
        <v>45982</v>
      </c>
      <c r="AE177" s="16" t="s">
        <v>45</v>
      </c>
      <c r="AF177" s="19"/>
      <c r="AG177" s="19" t="s">
        <v>46</v>
      </c>
    </row>
    <row r="178" spans="1:33" ht="83.25" customHeight="1">
      <c r="A178" s="18">
        <v>193</v>
      </c>
      <c r="B178" s="18"/>
      <c r="C178" s="62">
        <v>46043.728078703702</v>
      </c>
      <c r="D178" s="23">
        <v>46043.729421296302</v>
      </c>
      <c r="E178" s="20">
        <f>DATE(YEAR(OfficeForms.Table[[#This Row],[Completion time]]), MONTH(OfficeForms.Table[[#This Row],[Completion time]]), DAY(OfficeForms.Table[[#This Row],[Completion time]]))</f>
        <v>46043</v>
      </c>
      <c r="F178" s="25" t="s">
        <v>1034</v>
      </c>
      <c r="G178" s="7" t="s">
        <v>1035</v>
      </c>
      <c r="H178" s="7" t="s">
        <v>1494</v>
      </c>
      <c r="I178" s="7" t="s">
        <v>1495</v>
      </c>
      <c r="J178" s="7" t="s">
        <v>1496</v>
      </c>
      <c r="K178" s="21" t="s">
        <v>1479</v>
      </c>
      <c r="L178" s="7" t="s">
        <v>38</v>
      </c>
      <c r="M178" s="86" t="s">
        <v>1497</v>
      </c>
      <c r="N178" s="55"/>
      <c r="O178" s="74" t="s">
        <v>1498</v>
      </c>
      <c r="P178" s="8" t="s">
        <v>40</v>
      </c>
      <c r="Q178" s="74" t="s">
        <v>1482</v>
      </c>
      <c r="R178" s="74" t="s">
        <v>1499</v>
      </c>
      <c r="S178" s="8" t="s">
        <v>1500</v>
      </c>
      <c r="T178" s="8" t="s">
        <v>96</v>
      </c>
      <c r="U178" s="7" t="s">
        <v>1485</v>
      </c>
      <c r="V178" s="8" t="s">
        <v>1501</v>
      </c>
      <c r="W178" s="7" t="s">
        <v>119</v>
      </c>
      <c r="X178" s="23"/>
      <c r="Y178" s="25"/>
      <c r="Z178" s="7"/>
      <c r="AA178" s="53"/>
      <c r="AB178" s="25"/>
      <c r="AC178" s="53"/>
      <c r="AD178" s="20"/>
      <c r="AE178" s="16" t="s">
        <v>621</v>
      </c>
      <c r="AF178" s="19"/>
      <c r="AG178" s="19"/>
    </row>
    <row r="179" spans="1:33" ht="83.25" customHeight="1">
      <c r="A179" s="18">
        <v>142</v>
      </c>
      <c r="B179" s="18"/>
      <c r="C179" s="62">
        <v>45926.825601851902</v>
      </c>
      <c r="D179" s="23">
        <v>45926.8309143519</v>
      </c>
      <c r="E179" s="23">
        <f>DATE(YEAR(OfficeForms.Table[[#This Row],[Completion time]]), MONTH(OfficeForms.Table[[#This Row],[Completion time]]), DAY(OfficeForms.Table[[#This Row],[Completion time]]))</f>
        <v>45926</v>
      </c>
      <c r="F179" s="25" t="s">
        <v>1271</v>
      </c>
      <c r="G179" s="7" t="s">
        <v>550</v>
      </c>
      <c r="H179" s="7" t="s">
        <v>1502</v>
      </c>
      <c r="I179" s="7" t="s">
        <v>1503</v>
      </c>
      <c r="J179" s="7" t="s">
        <v>1504</v>
      </c>
      <c r="K179" s="21" t="s">
        <v>1275</v>
      </c>
      <c r="L179" s="7" t="s">
        <v>38</v>
      </c>
      <c r="M179" s="7" t="s">
        <v>1505</v>
      </c>
      <c r="N179" s="55"/>
      <c r="O179" s="75">
        <v>11000</v>
      </c>
      <c r="P179" s="8" t="s">
        <v>40</v>
      </c>
      <c r="Q179" s="74" t="s">
        <v>1506</v>
      </c>
      <c r="R179" s="74" t="s">
        <v>1507</v>
      </c>
      <c r="S179" s="8" t="s">
        <v>1508</v>
      </c>
      <c r="T179" s="19"/>
      <c r="U179" s="7" t="s">
        <v>550</v>
      </c>
      <c r="V179" s="8" t="s">
        <v>1509</v>
      </c>
      <c r="W179" s="7" t="s">
        <v>152</v>
      </c>
      <c r="X179" s="23">
        <v>45945</v>
      </c>
      <c r="Y179" s="25"/>
      <c r="Z179" s="7"/>
      <c r="AA179" s="53" t="s">
        <v>43</v>
      </c>
      <c r="AB179" s="7"/>
      <c r="AC179" s="53" t="s">
        <v>44</v>
      </c>
      <c r="AD179" s="20">
        <v>45926</v>
      </c>
      <c r="AE179" s="16" t="s">
        <v>621</v>
      </c>
      <c r="AF179" s="19"/>
      <c r="AG179" s="19" t="s">
        <v>46</v>
      </c>
    </row>
    <row r="180" spans="1:33" ht="83.25" customHeight="1">
      <c r="A180" s="18">
        <v>126</v>
      </c>
      <c r="B180" s="18"/>
      <c r="C180" s="62">
        <v>45911.679513888899</v>
      </c>
      <c r="D180" s="23">
        <v>45911.688182870399</v>
      </c>
      <c r="E180" s="23">
        <v>45912</v>
      </c>
      <c r="F180" s="25" t="s">
        <v>559</v>
      </c>
      <c r="G180" s="7" t="s">
        <v>560</v>
      </c>
      <c r="H180" s="7" t="s">
        <v>1510</v>
      </c>
      <c r="I180" s="7" t="s">
        <v>1511</v>
      </c>
      <c r="J180" s="7" t="s">
        <v>1512</v>
      </c>
      <c r="K180" s="21" t="s">
        <v>1513</v>
      </c>
      <c r="L180" s="7" t="s">
        <v>38</v>
      </c>
      <c r="M180" s="7" t="s">
        <v>1514</v>
      </c>
      <c r="N180" s="55" t="s">
        <v>1515</v>
      </c>
      <c r="O180" s="74" t="s">
        <v>947</v>
      </c>
      <c r="P180" s="8" t="s">
        <v>40</v>
      </c>
      <c r="Q180" s="74" t="s">
        <v>117</v>
      </c>
      <c r="R180" s="74" t="s">
        <v>1081</v>
      </c>
      <c r="S180" s="8" t="s">
        <v>1516</v>
      </c>
      <c r="T180" s="19"/>
      <c r="U180" s="7" t="s">
        <v>560</v>
      </c>
      <c r="V180" s="8" t="s">
        <v>1517</v>
      </c>
      <c r="W180" s="7" t="s">
        <v>119</v>
      </c>
      <c r="X180" s="23"/>
      <c r="Y180" s="25"/>
      <c r="Z180" s="7"/>
      <c r="AA180" s="53" t="s">
        <v>1160</v>
      </c>
      <c r="AB180" s="7"/>
      <c r="AC180" s="53" t="s">
        <v>416</v>
      </c>
      <c r="AD180" s="20">
        <v>45912</v>
      </c>
      <c r="AE180" s="16" t="s">
        <v>1518</v>
      </c>
      <c r="AF180" s="19"/>
      <c r="AG180" s="19" t="s">
        <v>71</v>
      </c>
    </row>
    <row r="181" spans="1:33" ht="83.25" customHeight="1">
      <c r="A181" s="18">
        <v>177</v>
      </c>
      <c r="B181" s="18"/>
      <c r="C181" s="62">
        <v>45993.472164351901</v>
      </c>
      <c r="D181" s="23">
        <v>45993.478391203702</v>
      </c>
      <c r="E181" s="20">
        <f>DATE(YEAR(OfficeForms.Table[[#This Row],[Completion time]]), MONTH(OfficeForms.Table[[#This Row],[Completion time]]), DAY(OfficeForms.Table[[#This Row],[Completion time]]))</f>
        <v>45993</v>
      </c>
      <c r="F181" s="25" t="s">
        <v>175</v>
      </c>
      <c r="G181" s="7" t="s">
        <v>176</v>
      </c>
      <c r="H181" s="7" t="s">
        <v>1519</v>
      </c>
      <c r="I181" s="7" t="s">
        <v>1520</v>
      </c>
      <c r="J181" s="7" t="s">
        <v>1520</v>
      </c>
      <c r="K181" s="21" t="s">
        <v>137</v>
      </c>
      <c r="L181" s="7" t="s">
        <v>38</v>
      </c>
      <c r="M181" s="7" t="s">
        <v>1521</v>
      </c>
      <c r="N181" s="55"/>
      <c r="O181" s="74" t="s">
        <v>1522</v>
      </c>
      <c r="P181" s="8" t="s">
        <v>40</v>
      </c>
      <c r="Q181" s="74" t="s">
        <v>96</v>
      </c>
      <c r="R181" s="74" t="s">
        <v>96</v>
      </c>
      <c r="S181" s="8" t="s">
        <v>96</v>
      </c>
      <c r="T181" s="8" t="s">
        <v>42</v>
      </c>
      <c r="U181" s="7" t="s">
        <v>210</v>
      </c>
      <c r="V181" s="8" t="s">
        <v>696</v>
      </c>
      <c r="W181" s="7" t="s">
        <v>119</v>
      </c>
      <c r="X181" s="23"/>
      <c r="Y181" s="25" t="s">
        <v>129</v>
      </c>
      <c r="Z181" s="7"/>
      <c r="AA181" s="53" t="s">
        <v>356</v>
      </c>
      <c r="AB181" s="25" t="s">
        <v>1523</v>
      </c>
      <c r="AC181" s="53" t="s">
        <v>130</v>
      </c>
      <c r="AD181" s="20">
        <v>46073</v>
      </c>
      <c r="AE181" s="16" t="s">
        <v>45</v>
      </c>
      <c r="AF181" s="19"/>
      <c r="AG181" s="19" t="s">
        <v>132</v>
      </c>
    </row>
    <row r="182" spans="1:33" ht="83.25" customHeight="1">
      <c r="A182" s="18">
        <v>175</v>
      </c>
      <c r="B182" s="18"/>
      <c r="C182" s="62">
        <v>45992.481504629599</v>
      </c>
      <c r="D182" s="23">
        <v>45992.488842592596</v>
      </c>
      <c r="E182" s="20">
        <f>DATE(YEAR(OfficeForms.Table[[#This Row],[Completion time]]), MONTH(OfficeForms.Table[[#This Row],[Completion time]]), DAY(OfficeForms.Table[[#This Row],[Completion time]]))</f>
        <v>45992</v>
      </c>
      <c r="F182" s="25" t="s">
        <v>559</v>
      </c>
      <c r="G182" s="7" t="s">
        <v>560</v>
      </c>
      <c r="H182" s="7" t="s">
        <v>1524</v>
      </c>
      <c r="I182" s="7" t="s">
        <v>1525</v>
      </c>
      <c r="J182" s="7" t="s">
        <v>1525</v>
      </c>
      <c r="K182" s="21" t="s">
        <v>1513</v>
      </c>
      <c r="L182" s="7" t="s">
        <v>38</v>
      </c>
      <c r="M182" s="7" t="s">
        <v>1526</v>
      </c>
      <c r="N182" s="55"/>
      <c r="O182" s="74" t="s">
        <v>947</v>
      </c>
      <c r="P182" s="8" t="s">
        <v>565</v>
      </c>
      <c r="Q182" s="74" t="s">
        <v>117</v>
      </c>
      <c r="R182" s="74" t="s">
        <v>1527</v>
      </c>
      <c r="S182" s="8" t="s">
        <v>1528</v>
      </c>
      <c r="T182" s="8" t="s">
        <v>1529</v>
      </c>
      <c r="U182" s="7" t="s">
        <v>560</v>
      </c>
      <c r="V182" s="8" t="s">
        <v>1530</v>
      </c>
      <c r="W182" s="7" t="s">
        <v>119</v>
      </c>
      <c r="X182" s="23"/>
      <c r="Y182" s="25"/>
      <c r="Z182" s="7"/>
      <c r="AA182" s="53"/>
      <c r="AB182" s="25"/>
      <c r="AC182" s="53" t="s">
        <v>44</v>
      </c>
      <c r="AD182" s="20">
        <v>45993</v>
      </c>
      <c r="AE182" s="16" t="s">
        <v>621</v>
      </c>
      <c r="AF182" s="19"/>
      <c r="AG182" s="19" t="s">
        <v>1531</v>
      </c>
    </row>
    <row r="183" spans="1:33" ht="83.25" customHeight="1">
      <c r="A183" s="18">
        <v>179</v>
      </c>
      <c r="B183" s="18"/>
      <c r="C183" s="62">
        <v>46001.637800925899</v>
      </c>
      <c r="D183" s="23">
        <v>46001.642476851797</v>
      </c>
      <c r="E183" s="20">
        <f>DATE(YEAR(OfficeForms.Table[[#This Row],[Completion time]]), MONTH(OfficeForms.Table[[#This Row],[Completion time]]), DAY(OfficeForms.Table[[#This Row],[Completion time]]))</f>
        <v>46001</v>
      </c>
      <c r="F183" s="25" t="s">
        <v>272</v>
      </c>
      <c r="G183" s="7" t="s">
        <v>273</v>
      </c>
      <c r="H183" s="7" t="s">
        <v>1532</v>
      </c>
      <c r="I183" s="7" t="s">
        <v>1533</v>
      </c>
      <c r="J183" s="7" t="s">
        <v>1534</v>
      </c>
      <c r="K183" s="21" t="s">
        <v>1535</v>
      </c>
      <c r="L183" s="7" t="s">
        <v>38</v>
      </c>
      <c r="M183" s="7" t="s">
        <v>1536</v>
      </c>
      <c r="N183" s="55"/>
      <c r="O183" s="74" t="s">
        <v>1537</v>
      </c>
      <c r="P183" s="8" t="s">
        <v>40</v>
      </c>
      <c r="Q183" s="74" t="s">
        <v>96</v>
      </c>
      <c r="R183" s="74" t="s">
        <v>96</v>
      </c>
      <c r="S183" s="8" t="s">
        <v>1538</v>
      </c>
      <c r="T183" s="8" t="s">
        <v>1539</v>
      </c>
      <c r="U183" s="7" t="s">
        <v>1540</v>
      </c>
      <c r="V183" s="8" t="s">
        <v>1541</v>
      </c>
      <c r="W183" s="7" t="s">
        <v>152</v>
      </c>
      <c r="X183" s="23">
        <v>46053</v>
      </c>
      <c r="Y183" s="25"/>
      <c r="Z183" s="7"/>
      <c r="AA183" s="53" t="s">
        <v>609</v>
      </c>
      <c r="AB183" s="25"/>
      <c r="AC183" s="53"/>
      <c r="AD183" s="20">
        <v>46006</v>
      </c>
      <c r="AE183" s="16" t="s">
        <v>229</v>
      </c>
      <c r="AF183" s="19"/>
      <c r="AG183" s="19"/>
    </row>
    <row r="184" spans="1:33" ht="83.25" customHeight="1">
      <c r="A184" s="18">
        <v>180</v>
      </c>
      <c r="B184" s="18"/>
      <c r="C184" s="62">
        <v>46001.640185185199</v>
      </c>
      <c r="D184" s="23">
        <v>46001.700844907398</v>
      </c>
      <c r="E184" s="20">
        <f>DATE(YEAR(OfficeForms.Table[[#This Row],[Completion time]]), MONTH(OfficeForms.Table[[#This Row],[Completion time]]), DAY(OfficeForms.Table[[#This Row],[Completion time]]))</f>
        <v>46001</v>
      </c>
      <c r="F184" s="25" t="s">
        <v>1271</v>
      </c>
      <c r="G184" s="7" t="s">
        <v>550</v>
      </c>
      <c r="H184" s="7" t="s">
        <v>1542</v>
      </c>
      <c r="I184" s="7" t="s">
        <v>1543</v>
      </c>
      <c r="J184" s="7" t="s">
        <v>1544</v>
      </c>
      <c r="K184" s="21" t="s">
        <v>1545</v>
      </c>
      <c r="L184" s="7" t="s">
        <v>38</v>
      </c>
      <c r="M184" s="26" t="s">
        <v>1546</v>
      </c>
      <c r="N184" s="55"/>
      <c r="O184" s="74" t="s">
        <v>930</v>
      </c>
      <c r="P184" s="8" t="s">
        <v>40</v>
      </c>
      <c r="Q184" s="74" t="s">
        <v>1547</v>
      </c>
      <c r="R184" s="74" t="s">
        <v>1548</v>
      </c>
      <c r="S184" s="8" t="s">
        <v>1549</v>
      </c>
      <c r="T184" s="8" t="s">
        <v>432</v>
      </c>
      <c r="U184" s="7" t="s">
        <v>1271</v>
      </c>
      <c r="V184" s="8" t="s">
        <v>1550</v>
      </c>
      <c r="W184" s="7" t="s">
        <v>42</v>
      </c>
      <c r="X184" s="23"/>
      <c r="Y184" s="25"/>
      <c r="Z184" s="7"/>
      <c r="AA184" s="53"/>
      <c r="AB184" s="25"/>
      <c r="AC184" s="53"/>
      <c r="AD184" s="20">
        <v>46008</v>
      </c>
      <c r="AE184" s="16" t="s">
        <v>621</v>
      </c>
      <c r="AF184" s="19" t="s">
        <v>1246</v>
      </c>
      <c r="AG184" s="19" t="s">
        <v>151</v>
      </c>
    </row>
    <row r="185" spans="1:33" ht="83.25" customHeight="1">
      <c r="A185" s="87">
        <v>181</v>
      </c>
      <c r="B185" s="18"/>
      <c r="C185" s="62">
        <v>46007.507835648197</v>
      </c>
      <c r="D185" s="23">
        <v>46007.5300347222</v>
      </c>
      <c r="E185" s="20">
        <f>DATE(YEAR(OfficeForms.Table[[#This Row],[Completion time]]), MONTH(OfficeForms.Table[[#This Row],[Completion time]]), DAY(OfficeForms.Table[[#This Row],[Completion time]]))</f>
        <v>46007</v>
      </c>
      <c r="F185" s="25" t="s">
        <v>559</v>
      </c>
      <c r="G185" s="7" t="s">
        <v>560</v>
      </c>
      <c r="H185" s="7" t="s">
        <v>1551</v>
      </c>
      <c r="I185" s="7" t="s">
        <v>1552</v>
      </c>
      <c r="J185" s="7" t="s">
        <v>1553</v>
      </c>
      <c r="K185" s="21" t="s">
        <v>1554</v>
      </c>
      <c r="L185" s="7" t="s">
        <v>66</v>
      </c>
      <c r="M185" s="26" t="s">
        <v>1555</v>
      </c>
      <c r="N185" s="55"/>
      <c r="O185" s="74" t="s">
        <v>1556</v>
      </c>
      <c r="P185" s="8" t="s">
        <v>40</v>
      </c>
      <c r="Q185" s="74" t="s">
        <v>1557</v>
      </c>
      <c r="R185" s="74" t="s">
        <v>1558</v>
      </c>
      <c r="S185" s="8" t="s">
        <v>1559</v>
      </c>
      <c r="T185" s="8" t="s">
        <v>1492</v>
      </c>
      <c r="U185" s="7" t="s">
        <v>1560</v>
      </c>
      <c r="V185" s="8" t="s">
        <v>1553</v>
      </c>
      <c r="W185" s="7" t="s">
        <v>119</v>
      </c>
      <c r="X185" s="23"/>
      <c r="Y185" s="25"/>
      <c r="Z185" s="7"/>
      <c r="AA185" s="53"/>
      <c r="AB185" s="25"/>
      <c r="AC185" s="53"/>
      <c r="AD185" s="20">
        <v>46008</v>
      </c>
      <c r="AE185" s="16" t="s">
        <v>621</v>
      </c>
      <c r="AF185" s="19" t="s">
        <v>1246</v>
      </c>
      <c r="AG185" s="19" t="s">
        <v>657</v>
      </c>
    </row>
    <row r="186" spans="1:33" ht="83.25" customHeight="1">
      <c r="A186" s="18">
        <v>182</v>
      </c>
      <c r="B186" s="18"/>
      <c r="C186" s="62">
        <v>46008.583090277803</v>
      </c>
      <c r="D186" s="23">
        <v>46008.618622685201</v>
      </c>
      <c r="E186" s="20">
        <f>DATE(YEAR(OfficeForms.Table[[#This Row],[Completion time]]), MONTH(OfficeForms.Table[[#This Row],[Completion time]]), DAY(OfficeForms.Table[[#This Row],[Completion time]]))</f>
        <v>46008</v>
      </c>
      <c r="F186" s="25" t="s">
        <v>1067</v>
      </c>
      <c r="G186" s="7" t="s">
        <v>1068</v>
      </c>
      <c r="H186" s="7"/>
      <c r="I186" s="7" t="s">
        <v>1561</v>
      </c>
      <c r="J186" s="7" t="s">
        <v>1562</v>
      </c>
      <c r="K186" s="21" t="s">
        <v>1563</v>
      </c>
      <c r="L186" s="7" t="s">
        <v>38</v>
      </c>
      <c r="M186" s="26" t="s">
        <v>1564</v>
      </c>
      <c r="N186" s="55"/>
      <c r="O186" s="74" t="s">
        <v>1565</v>
      </c>
      <c r="P186" s="8" t="s">
        <v>40</v>
      </c>
      <c r="Q186" s="74" t="s">
        <v>80</v>
      </c>
      <c r="R186" s="74" t="s">
        <v>80</v>
      </c>
      <c r="S186" s="8" t="s">
        <v>1566</v>
      </c>
      <c r="T186" s="8" t="s">
        <v>1567</v>
      </c>
      <c r="U186" s="7" t="s">
        <v>1395</v>
      </c>
      <c r="V186" s="8" t="s">
        <v>1568</v>
      </c>
      <c r="W186" s="7" t="s">
        <v>119</v>
      </c>
      <c r="X186" s="23"/>
      <c r="Y186" s="25"/>
      <c r="Z186" s="7"/>
      <c r="AA186" s="53"/>
      <c r="AB186" s="25"/>
      <c r="AC186" s="53"/>
      <c r="AD186" s="20">
        <v>46008.618622685201</v>
      </c>
      <c r="AE186" s="16" t="s">
        <v>82</v>
      </c>
      <c r="AF186" s="19"/>
      <c r="AG186" s="19"/>
    </row>
    <row r="187" spans="1:33" ht="83.25" customHeight="1">
      <c r="A187" s="18">
        <v>183</v>
      </c>
      <c r="B187" s="18"/>
      <c r="C187" s="62">
        <v>46008.6694444444</v>
      </c>
      <c r="D187" s="23">
        <v>46008.682303240697</v>
      </c>
      <c r="E187" s="20">
        <v>46009</v>
      </c>
      <c r="F187" s="25" t="s">
        <v>186</v>
      </c>
      <c r="G187" s="7" t="s">
        <v>47</v>
      </c>
      <c r="H187" s="7" t="s">
        <v>1569</v>
      </c>
      <c r="I187" s="7" t="s">
        <v>1570</v>
      </c>
      <c r="J187" s="7" t="s">
        <v>1571</v>
      </c>
      <c r="K187" s="21" t="s">
        <v>1572</v>
      </c>
      <c r="L187" s="7" t="s">
        <v>38</v>
      </c>
      <c r="M187" s="26" t="s">
        <v>1573</v>
      </c>
      <c r="N187" s="55"/>
      <c r="O187" s="74" t="s">
        <v>717</v>
      </c>
      <c r="P187" s="8" t="s">
        <v>40</v>
      </c>
      <c r="Q187" s="74" t="s">
        <v>1135</v>
      </c>
      <c r="R187" s="74" t="s">
        <v>1574</v>
      </c>
      <c r="S187" s="8" t="s">
        <v>1575</v>
      </c>
      <c r="T187" s="8" t="s">
        <v>1576</v>
      </c>
      <c r="U187" s="7" t="s">
        <v>47</v>
      </c>
      <c r="V187" s="8" t="s">
        <v>646</v>
      </c>
      <c r="W187" s="7" t="s">
        <v>42</v>
      </c>
      <c r="X187" s="23"/>
      <c r="Y187" s="25"/>
      <c r="Z187" s="7"/>
      <c r="AA187" s="53" t="s">
        <v>43</v>
      </c>
      <c r="AB187" s="25"/>
      <c r="AC187" s="53" t="s">
        <v>53</v>
      </c>
      <c r="AD187" s="20">
        <v>46013</v>
      </c>
      <c r="AE187" s="16" t="s">
        <v>45</v>
      </c>
      <c r="AF187" s="19"/>
      <c r="AG187" s="19" t="s">
        <v>46</v>
      </c>
    </row>
    <row r="188" spans="1:33" ht="83.25" customHeight="1">
      <c r="A188" s="18">
        <v>184</v>
      </c>
      <c r="B188" s="18"/>
      <c r="C188" s="62">
        <v>46009.493773148097</v>
      </c>
      <c r="D188" s="23">
        <v>46009.662835648203</v>
      </c>
      <c r="E188" s="20">
        <f>DATE(YEAR(OfficeForms.Table[[#This Row],[Completion time]]), MONTH(OfficeForms.Table[[#This Row],[Completion time]]), DAY(OfficeForms.Table[[#This Row],[Completion time]]))</f>
        <v>46009</v>
      </c>
      <c r="F188" s="25" t="s">
        <v>155</v>
      </c>
      <c r="G188" s="7" t="s">
        <v>121</v>
      </c>
      <c r="H188" s="7" t="s">
        <v>1577</v>
      </c>
      <c r="I188" s="7" t="s">
        <v>1578</v>
      </c>
      <c r="J188" s="7" t="s">
        <v>1578</v>
      </c>
      <c r="K188" s="21" t="s">
        <v>1579</v>
      </c>
      <c r="L188" s="7" t="s">
        <v>206</v>
      </c>
      <c r="M188" s="26" t="s">
        <v>1580</v>
      </c>
      <c r="N188" s="55"/>
      <c r="O188" s="74" t="s">
        <v>117</v>
      </c>
      <c r="P188" s="8" t="s">
        <v>117</v>
      </c>
      <c r="Q188" s="74" t="s">
        <v>117</v>
      </c>
      <c r="R188" s="74" t="s">
        <v>117</v>
      </c>
      <c r="S188" s="8" t="s">
        <v>1581</v>
      </c>
      <c r="T188" s="8" t="s">
        <v>117</v>
      </c>
      <c r="U188" s="7" t="s">
        <v>121</v>
      </c>
      <c r="V188" s="8" t="s">
        <v>1582</v>
      </c>
      <c r="W188" s="7" t="s">
        <v>119</v>
      </c>
      <c r="X188" s="23"/>
      <c r="Y188" s="25"/>
      <c r="Z188" s="7"/>
      <c r="AA188" s="53"/>
      <c r="AB188" s="25"/>
      <c r="AC188" s="53"/>
      <c r="AD188" s="20">
        <v>46009</v>
      </c>
      <c r="AE188" s="16" t="s">
        <v>229</v>
      </c>
      <c r="AF188" s="19"/>
      <c r="AG188" s="19" t="s">
        <v>151</v>
      </c>
    </row>
    <row r="189" spans="1:33" ht="83.25" customHeight="1">
      <c r="A189" s="18">
        <v>223</v>
      </c>
      <c r="B189" s="18"/>
      <c r="C189" s="62">
        <v>46099.973761574103</v>
      </c>
      <c r="D189" s="23">
        <v>46099.974814814799</v>
      </c>
      <c r="E189" s="20">
        <f>DATE(YEAR(OfficeForms.Table[[#This Row],[Completion time]]), MONTH(OfficeForms.Table[[#This Row],[Completion time]]), DAY(OfficeForms.Table[[#This Row],[Completion time]]))</f>
        <v>46099</v>
      </c>
      <c r="F189" s="25" t="s">
        <v>155</v>
      </c>
      <c r="G189" s="7" t="s">
        <v>121</v>
      </c>
      <c r="H189" s="7"/>
      <c r="I189" s="7" t="s">
        <v>1583</v>
      </c>
      <c r="J189" s="7" t="s">
        <v>1584</v>
      </c>
      <c r="K189" s="21" t="s">
        <v>1585</v>
      </c>
      <c r="L189" s="7" t="s">
        <v>38</v>
      </c>
      <c r="M189" s="86"/>
      <c r="N189" s="55" t="s">
        <v>1586</v>
      </c>
      <c r="O189" s="74" t="s">
        <v>1155</v>
      </c>
      <c r="P189" s="8" t="s">
        <v>171</v>
      </c>
      <c r="Q189" s="74" t="s">
        <v>117</v>
      </c>
      <c r="R189" s="74" t="s">
        <v>328</v>
      </c>
      <c r="S189" s="8" t="s">
        <v>1587</v>
      </c>
      <c r="T189" s="8" t="s">
        <v>1122</v>
      </c>
      <c r="U189" s="7" t="s">
        <v>121</v>
      </c>
      <c r="V189" s="8" t="s">
        <v>1588</v>
      </c>
      <c r="W189" s="7" t="s">
        <v>119</v>
      </c>
      <c r="X189" s="23"/>
      <c r="Y189" s="25"/>
      <c r="Z189" s="7"/>
      <c r="AA189" s="53"/>
      <c r="AB189" s="25"/>
      <c r="AC189" s="53"/>
      <c r="AD189" s="20"/>
      <c r="AE189" s="16" t="s">
        <v>1589</v>
      </c>
      <c r="AF189" s="19"/>
      <c r="AG189" s="19" t="s">
        <v>657</v>
      </c>
    </row>
    <row r="190" spans="1:33" ht="83.25" customHeight="1">
      <c r="A190" s="22">
        <v>225</v>
      </c>
      <c r="B190" s="18"/>
      <c r="C190" s="60">
        <v>46107.012349536999</v>
      </c>
      <c r="D190" s="17">
        <v>46107.013946759304</v>
      </c>
      <c r="E190" s="1">
        <f>DATE(YEAR(OfficeForms.Table[[#This Row],[Completion time]]), MONTH(OfficeForms.Table[[#This Row],[Completion time]]), DAY(OfficeForms.Table[[#This Row],[Completion time]]))</f>
        <v>46107</v>
      </c>
      <c r="F190" s="32" t="s">
        <v>468</v>
      </c>
      <c r="G190" s="3" t="s">
        <v>469</v>
      </c>
      <c r="H190" s="3"/>
      <c r="I190" s="3" t="s">
        <v>1590</v>
      </c>
      <c r="J190" s="3" t="s">
        <v>1591</v>
      </c>
      <c r="K190" s="21" t="s">
        <v>1462</v>
      </c>
      <c r="L190" s="3"/>
      <c r="M190" s="88"/>
      <c r="N190" s="55"/>
      <c r="O190" s="76" t="s">
        <v>1592</v>
      </c>
      <c r="P190" s="9" t="s">
        <v>1593</v>
      </c>
      <c r="Q190" s="76" t="s">
        <v>96</v>
      </c>
      <c r="R190" s="76" t="s">
        <v>1594</v>
      </c>
      <c r="S190" s="9" t="s">
        <v>1595</v>
      </c>
      <c r="T190" s="8" t="s">
        <v>96</v>
      </c>
      <c r="U190" s="3" t="s">
        <v>468</v>
      </c>
      <c r="V190" s="9" t="s">
        <v>151</v>
      </c>
      <c r="W190" s="3" t="s">
        <v>119</v>
      </c>
      <c r="Y190" s="32"/>
      <c r="Z190" s="3"/>
      <c r="AA190" s="4"/>
      <c r="AB190" s="32"/>
      <c r="AC190" s="53"/>
      <c r="AD190" s="1"/>
      <c r="AE190" s="24" t="s">
        <v>621</v>
      </c>
      <c r="AF190" s="19"/>
      <c r="AG190" s="19"/>
    </row>
    <row r="191" spans="1:33" ht="83.25" customHeight="1">
      <c r="A191" s="18">
        <v>117</v>
      </c>
      <c r="B191" s="18"/>
      <c r="C191" s="62">
        <v>45897.720150462999</v>
      </c>
      <c r="D191" s="23">
        <v>45897.730555555601</v>
      </c>
      <c r="E191" s="83">
        <v>45901</v>
      </c>
      <c r="F191" s="25" t="s">
        <v>186</v>
      </c>
      <c r="G191" s="7" t="s">
        <v>47</v>
      </c>
      <c r="H191" s="7" t="s">
        <v>1264</v>
      </c>
      <c r="I191" s="7" t="s">
        <v>1596</v>
      </c>
      <c r="J191" s="7" t="s">
        <v>1597</v>
      </c>
      <c r="K191" s="21" t="s">
        <v>1266</v>
      </c>
      <c r="L191" s="7" t="s">
        <v>38</v>
      </c>
      <c r="M191" s="7" t="s">
        <v>1598</v>
      </c>
      <c r="N191" s="55"/>
      <c r="O191" s="74" t="s">
        <v>616</v>
      </c>
      <c r="P191" s="8" t="s">
        <v>40</v>
      </c>
      <c r="Q191" s="74" t="s">
        <v>96</v>
      </c>
      <c r="R191" s="74" t="s">
        <v>96</v>
      </c>
      <c r="S191" s="8" t="s">
        <v>1599</v>
      </c>
      <c r="T191" s="19"/>
      <c r="U191" s="7" t="s">
        <v>47</v>
      </c>
      <c r="V191" s="8" t="s">
        <v>1600</v>
      </c>
      <c r="W191" s="7" t="s">
        <v>42</v>
      </c>
      <c r="X191" s="23"/>
      <c r="Y191" s="25"/>
      <c r="Z191" s="7"/>
      <c r="AA191" s="53" t="s">
        <v>43</v>
      </c>
      <c r="AB191" s="7"/>
      <c r="AC191" s="53" t="s">
        <v>53</v>
      </c>
      <c r="AD191" s="20">
        <v>45938</v>
      </c>
      <c r="AE191" s="16" t="s">
        <v>1601</v>
      </c>
      <c r="AF191" s="19" t="s">
        <v>1602</v>
      </c>
      <c r="AG191" s="19" t="s">
        <v>46</v>
      </c>
    </row>
    <row r="192" spans="1:33" ht="83.25" customHeight="1">
      <c r="A192" s="18">
        <v>188</v>
      </c>
      <c r="B192" s="18"/>
      <c r="C192" s="62">
        <v>46017.6413425926</v>
      </c>
      <c r="D192" s="23">
        <v>46017.708449074104</v>
      </c>
      <c r="E192" s="20">
        <v>46020</v>
      </c>
      <c r="F192" s="25" t="s">
        <v>155</v>
      </c>
      <c r="G192" s="7" t="s">
        <v>121</v>
      </c>
      <c r="H192" s="7" t="s">
        <v>1603</v>
      </c>
      <c r="I192" s="7" t="s">
        <v>1604</v>
      </c>
      <c r="J192" s="7" t="s">
        <v>1605</v>
      </c>
      <c r="K192" s="21" t="s">
        <v>1606</v>
      </c>
      <c r="L192" s="7" t="s">
        <v>206</v>
      </c>
      <c r="M192" s="7" t="s">
        <v>1607</v>
      </c>
      <c r="N192" s="55"/>
      <c r="O192" s="74" t="s">
        <v>117</v>
      </c>
      <c r="P192" s="8" t="s">
        <v>117</v>
      </c>
      <c r="Q192" s="74" t="s">
        <v>117</v>
      </c>
      <c r="R192" s="74" t="s">
        <v>117</v>
      </c>
      <c r="S192" s="8" t="s">
        <v>117</v>
      </c>
      <c r="T192" s="8" t="s">
        <v>117</v>
      </c>
      <c r="U192" s="7" t="s">
        <v>121</v>
      </c>
      <c r="V192" s="8" t="s">
        <v>96</v>
      </c>
      <c r="W192" s="7" t="s">
        <v>119</v>
      </c>
      <c r="X192" s="23"/>
      <c r="Y192" s="25" t="s">
        <v>129</v>
      </c>
      <c r="Z192" s="7"/>
      <c r="AA192" s="53" t="s">
        <v>43</v>
      </c>
      <c r="AB192" s="25"/>
      <c r="AC192" s="53" t="s">
        <v>130</v>
      </c>
      <c r="AD192" s="20"/>
      <c r="AE192" s="16" t="s">
        <v>45</v>
      </c>
      <c r="AF192" s="70" t="s">
        <v>1608</v>
      </c>
      <c r="AG192" s="19"/>
    </row>
    <row r="193" spans="1:33" ht="83.25" customHeight="1">
      <c r="A193" s="18">
        <v>189</v>
      </c>
      <c r="B193" s="18"/>
      <c r="C193" s="62">
        <v>46020.5233449074</v>
      </c>
      <c r="D193" s="23">
        <v>46020.526342592602</v>
      </c>
      <c r="E193" s="20">
        <f>DATE(YEAR(OfficeForms.Table[[#This Row],[Completion time]]), MONTH(OfficeForms.Table[[#This Row],[Completion time]]), DAY(OfficeForms.Table[[#This Row],[Completion time]]))</f>
        <v>46020</v>
      </c>
      <c r="F193" s="25" t="s">
        <v>155</v>
      </c>
      <c r="G193" s="7" t="s">
        <v>121</v>
      </c>
      <c r="H193" s="7" t="s">
        <v>1609</v>
      </c>
      <c r="I193" s="7" t="s">
        <v>1610</v>
      </c>
      <c r="J193" s="7" t="s">
        <v>1611</v>
      </c>
      <c r="K193" s="21" t="s">
        <v>599</v>
      </c>
      <c r="L193" s="7" t="s">
        <v>346</v>
      </c>
      <c r="M193" s="7" t="s">
        <v>1612</v>
      </c>
      <c r="N193" s="55"/>
      <c r="O193" s="74" t="s">
        <v>1613</v>
      </c>
      <c r="P193" s="8" t="s">
        <v>117</v>
      </c>
      <c r="Q193" s="74" t="s">
        <v>117</v>
      </c>
      <c r="R193" s="74" t="s">
        <v>117</v>
      </c>
      <c r="S193" s="8" t="s">
        <v>1614</v>
      </c>
      <c r="T193" s="8" t="s">
        <v>117</v>
      </c>
      <c r="U193" s="7" t="s">
        <v>121</v>
      </c>
      <c r="V193" s="8" t="s">
        <v>1615</v>
      </c>
      <c r="W193" s="7" t="s">
        <v>152</v>
      </c>
      <c r="X193" s="23">
        <v>46023</v>
      </c>
      <c r="Y193" s="25" t="s">
        <v>129</v>
      </c>
      <c r="Z193" s="7"/>
      <c r="AA193" s="53" t="s">
        <v>1160</v>
      </c>
      <c r="AB193" s="25"/>
      <c r="AC193" s="53" t="s">
        <v>130</v>
      </c>
      <c r="AD193" s="20"/>
      <c r="AE193" s="16" t="s">
        <v>45</v>
      </c>
      <c r="AF193" s="19"/>
      <c r="AG193" s="19"/>
    </row>
    <row r="194" spans="1:33" ht="83.25" customHeight="1">
      <c r="A194" s="18">
        <v>200</v>
      </c>
      <c r="B194" s="18"/>
      <c r="C194" s="62">
        <v>46063.741342592599</v>
      </c>
      <c r="D194" s="23">
        <v>46063.747395833299</v>
      </c>
      <c r="E194" s="20">
        <f>DATE(YEAR(OfficeForms.Table[[#This Row],[Completion time]]), MONTH(OfficeForms.Table[[#This Row],[Completion time]]), DAY(OfficeForms.Table[[#This Row],[Completion time]]))</f>
        <v>46063</v>
      </c>
      <c r="F194" s="25" t="s">
        <v>1616</v>
      </c>
      <c r="G194" s="7" t="s">
        <v>1617</v>
      </c>
      <c r="H194" s="7" t="s">
        <v>1618</v>
      </c>
      <c r="I194" s="7" t="s">
        <v>1619</v>
      </c>
      <c r="J194" s="7" t="s">
        <v>1620</v>
      </c>
      <c r="K194" s="21" t="s">
        <v>1621</v>
      </c>
      <c r="L194" s="7" t="s">
        <v>38</v>
      </c>
      <c r="M194" s="86" t="s">
        <v>1622</v>
      </c>
      <c r="N194" s="55"/>
      <c r="O194" s="74" t="s">
        <v>1623</v>
      </c>
      <c r="P194" s="8" t="s">
        <v>40</v>
      </c>
      <c r="Q194" s="74" t="s">
        <v>1624</v>
      </c>
      <c r="R194" s="74" t="s">
        <v>1625</v>
      </c>
      <c r="S194" s="8" t="s">
        <v>1626</v>
      </c>
      <c r="T194" s="8" t="s">
        <v>848</v>
      </c>
      <c r="U194" s="7" t="s">
        <v>406</v>
      </c>
      <c r="V194" s="8" t="s">
        <v>1627</v>
      </c>
      <c r="W194" s="7" t="s">
        <v>152</v>
      </c>
      <c r="X194" s="23">
        <v>46090</v>
      </c>
      <c r="Y194" s="25"/>
      <c r="Z194" s="7"/>
      <c r="AA194" s="53"/>
      <c r="AB194" s="25"/>
      <c r="AC194" s="53"/>
      <c r="AD194" s="20">
        <v>46064</v>
      </c>
      <c r="AE194" s="16" t="s">
        <v>621</v>
      </c>
      <c r="AF194" s="19"/>
      <c r="AG194" s="19" t="s">
        <v>46</v>
      </c>
    </row>
    <row r="195" spans="1:33" ht="83.25" customHeight="1">
      <c r="A195" s="18">
        <v>102</v>
      </c>
      <c r="B195" s="18"/>
      <c r="C195" s="62">
        <v>45881.638067129599</v>
      </c>
      <c r="D195" s="23">
        <v>45881.640706018501</v>
      </c>
      <c r="E195" s="23">
        <v>45882</v>
      </c>
      <c r="F195" s="7" t="s">
        <v>305</v>
      </c>
      <c r="G195" s="7" t="s">
        <v>306</v>
      </c>
      <c r="H195" s="7" t="s">
        <v>1628</v>
      </c>
      <c r="I195" s="7" t="s">
        <v>1629</v>
      </c>
      <c r="J195" s="7" t="s">
        <v>1630</v>
      </c>
      <c r="K195" s="21" t="s">
        <v>1631</v>
      </c>
      <c r="L195" s="7" t="s">
        <v>38</v>
      </c>
      <c r="M195" s="93" t="s">
        <v>1632</v>
      </c>
      <c r="N195" s="55"/>
      <c r="O195" s="74" t="s">
        <v>700</v>
      </c>
      <c r="P195" s="8" t="s">
        <v>40</v>
      </c>
      <c r="Q195" s="74" t="s">
        <v>1261</v>
      </c>
      <c r="R195" s="74" t="s">
        <v>1633</v>
      </c>
      <c r="S195" s="8" t="s">
        <v>530</v>
      </c>
      <c r="T195" s="19"/>
      <c r="U195" s="7" t="s">
        <v>306</v>
      </c>
      <c r="V195" s="8" t="s">
        <v>328</v>
      </c>
      <c r="W195" s="7" t="s">
        <v>42</v>
      </c>
      <c r="X195" s="23"/>
      <c r="Y195" s="25"/>
      <c r="Z195" s="7"/>
      <c r="AA195" s="53" t="s">
        <v>43</v>
      </c>
      <c r="AB195" s="7"/>
      <c r="AC195" s="53" t="s">
        <v>53</v>
      </c>
      <c r="AD195" s="20">
        <v>45905</v>
      </c>
      <c r="AE195" s="16" t="s">
        <v>621</v>
      </c>
      <c r="AF195" s="19"/>
      <c r="AG195" s="19" t="s">
        <v>46</v>
      </c>
    </row>
    <row r="196" spans="1:33" ht="83.25" customHeight="1">
      <c r="A196" s="18">
        <v>84</v>
      </c>
      <c r="B196" s="18"/>
      <c r="C196" s="62">
        <v>45868.688657407401</v>
      </c>
      <c r="D196" s="23">
        <v>45868.694918981499</v>
      </c>
      <c r="E196" s="23">
        <v>45869</v>
      </c>
      <c r="F196" s="7" t="s">
        <v>1634</v>
      </c>
      <c r="G196" s="7" t="s">
        <v>1635</v>
      </c>
      <c r="H196" s="7" t="s">
        <v>1636</v>
      </c>
      <c r="I196" s="7" t="s">
        <v>1637</v>
      </c>
      <c r="J196" s="7" t="s">
        <v>1638</v>
      </c>
      <c r="K196" s="21" t="s">
        <v>1639</v>
      </c>
      <c r="L196" s="7" t="s">
        <v>38</v>
      </c>
      <c r="M196" s="7" t="s">
        <v>1640</v>
      </c>
      <c r="N196" s="55"/>
      <c r="O196" s="74" t="s">
        <v>1641</v>
      </c>
      <c r="P196" s="8" t="s">
        <v>96</v>
      </c>
      <c r="Q196" s="74" t="s">
        <v>96</v>
      </c>
      <c r="R196" s="74" t="s">
        <v>96</v>
      </c>
      <c r="S196" s="8" t="s">
        <v>96</v>
      </c>
      <c r="T196" s="19"/>
      <c r="U196" s="7" t="s">
        <v>1635</v>
      </c>
      <c r="V196" s="7" t="s">
        <v>1642</v>
      </c>
      <c r="W196" s="7" t="s">
        <v>42</v>
      </c>
      <c r="X196" s="23"/>
      <c r="Y196" s="25"/>
      <c r="Z196" s="7"/>
      <c r="AA196" s="53" t="s">
        <v>43</v>
      </c>
      <c r="AB196" s="7"/>
      <c r="AC196" s="53" t="s">
        <v>53</v>
      </c>
      <c r="AD196" s="20">
        <v>45869</v>
      </c>
      <c r="AE196" s="16" t="s">
        <v>621</v>
      </c>
      <c r="AF196" s="19"/>
      <c r="AG196" s="19" t="s">
        <v>46</v>
      </c>
    </row>
    <row r="197" spans="1:33" ht="83.25" customHeight="1">
      <c r="A197" s="18">
        <v>125</v>
      </c>
      <c r="B197" s="18"/>
      <c r="C197" s="62">
        <v>45911.6711111111</v>
      </c>
      <c r="D197" s="23">
        <v>45911.678935185198</v>
      </c>
      <c r="E197" s="23">
        <v>45911</v>
      </c>
      <c r="F197" s="25" t="s">
        <v>559</v>
      </c>
      <c r="G197" s="7" t="s">
        <v>560</v>
      </c>
      <c r="H197" s="7" t="s">
        <v>1643</v>
      </c>
      <c r="I197" s="7" t="s">
        <v>1644</v>
      </c>
      <c r="J197" s="7" t="s">
        <v>1644</v>
      </c>
      <c r="K197" s="21" t="s">
        <v>1645</v>
      </c>
      <c r="L197" s="7" t="s">
        <v>206</v>
      </c>
      <c r="M197" s="7" t="s">
        <v>1646</v>
      </c>
      <c r="N197" s="55"/>
      <c r="O197" s="74" t="s">
        <v>1647</v>
      </c>
      <c r="P197" s="8" t="s">
        <v>40</v>
      </c>
      <c r="Q197" s="74" t="s">
        <v>1648</v>
      </c>
      <c r="R197" s="74" t="s">
        <v>1649</v>
      </c>
      <c r="S197" s="8" t="s">
        <v>1650</v>
      </c>
      <c r="T197" s="19"/>
      <c r="U197" s="7" t="s">
        <v>560</v>
      </c>
      <c r="V197" s="8" t="s">
        <v>1651</v>
      </c>
      <c r="W197" s="7" t="s">
        <v>119</v>
      </c>
      <c r="X197" s="23"/>
      <c r="Y197" s="25"/>
      <c r="Z197" s="7"/>
      <c r="AA197" s="53" t="s">
        <v>43</v>
      </c>
      <c r="AB197" s="7"/>
      <c r="AC197" s="53" t="s">
        <v>416</v>
      </c>
      <c r="AD197" s="20">
        <v>45942</v>
      </c>
      <c r="AE197" s="16" t="s">
        <v>621</v>
      </c>
      <c r="AF197" s="19"/>
      <c r="AG197" s="19" t="s">
        <v>674</v>
      </c>
    </row>
    <row r="198" spans="1:33" ht="83.25" customHeight="1">
      <c r="A198" s="18">
        <v>197</v>
      </c>
      <c r="B198" s="18"/>
      <c r="C198" s="62">
        <v>46061.013726851903</v>
      </c>
      <c r="D198" s="23">
        <v>46061.014710648102</v>
      </c>
      <c r="E198" s="20">
        <v>46062</v>
      </c>
      <c r="F198" s="25" t="s">
        <v>313</v>
      </c>
      <c r="G198" s="7" t="s">
        <v>314</v>
      </c>
      <c r="H198" s="7" t="s">
        <v>1652</v>
      </c>
      <c r="I198" s="7" t="s">
        <v>1653</v>
      </c>
      <c r="J198" s="7" t="s">
        <v>1653</v>
      </c>
      <c r="K198" s="21" t="s">
        <v>1654</v>
      </c>
      <c r="L198" s="7" t="s">
        <v>38</v>
      </c>
      <c r="M198" s="86"/>
      <c r="N198" s="55"/>
      <c r="O198" s="74" t="s">
        <v>1188</v>
      </c>
      <c r="P198" s="8" t="s">
        <v>466</v>
      </c>
      <c r="Q198" s="74" t="s">
        <v>975</v>
      </c>
      <c r="R198" s="74" t="s">
        <v>96</v>
      </c>
      <c r="S198" s="8" t="s">
        <v>1655</v>
      </c>
      <c r="T198" s="8" t="s">
        <v>96</v>
      </c>
      <c r="U198" s="7" t="s">
        <v>314</v>
      </c>
      <c r="V198" s="8" t="s">
        <v>1588</v>
      </c>
      <c r="W198" s="7" t="s">
        <v>42</v>
      </c>
      <c r="X198" s="23"/>
      <c r="Y198" s="25"/>
      <c r="Z198" s="7"/>
      <c r="AA198" s="53"/>
      <c r="AB198" s="25"/>
      <c r="AC198" s="53"/>
      <c r="AD198" s="20">
        <v>46062</v>
      </c>
      <c r="AE198" s="16" t="s">
        <v>621</v>
      </c>
      <c r="AF198" s="70" t="s">
        <v>1656</v>
      </c>
      <c r="AG198" s="19" t="s">
        <v>46</v>
      </c>
    </row>
    <row r="199" spans="1:33" ht="83.25" customHeight="1">
      <c r="A199" s="22">
        <v>195</v>
      </c>
      <c r="B199" s="18"/>
      <c r="C199" s="60">
        <v>46058.693969907399</v>
      </c>
      <c r="D199" s="17">
        <v>46058.706712963001</v>
      </c>
      <c r="E199" s="1">
        <f>DATE(YEAR(OfficeForms.Table[[#This Row],[Completion time]]), MONTH(OfficeForms.Table[[#This Row],[Completion time]]), DAY(OfficeForms.Table[[#This Row],[Completion time]]))</f>
        <v>46058</v>
      </c>
      <c r="F199" s="32" t="s">
        <v>272</v>
      </c>
      <c r="G199" s="3" t="s">
        <v>273</v>
      </c>
      <c r="H199" s="3" t="s">
        <v>1657</v>
      </c>
      <c r="I199" s="3" t="s">
        <v>1658</v>
      </c>
      <c r="J199" s="3" t="s">
        <v>1659</v>
      </c>
      <c r="K199" s="21" t="s">
        <v>96</v>
      </c>
      <c r="L199" s="3" t="s">
        <v>206</v>
      </c>
      <c r="M199" s="88" t="s">
        <v>1660</v>
      </c>
      <c r="N199" s="55"/>
      <c r="O199" s="76" t="s">
        <v>96</v>
      </c>
      <c r="P199" s="9" t="s">
        <v>96</v>
      </c>
      <c r="Q199" s="76" t="s">
        <v>96</v>
      </c>
      <c r="R199" s="76" t="s">
        <v>96</v>
      </c>
      <c r="S199" s="9" t="s">
        <v>1658</v>
      </c>
      <c r="T199" s="8" t="s">
        <v>96</v>
      </c>
      <c r="U199" s="3" t="s">
        <v>273</v>
      </c>
      <c r="V199" s="9" t="s">
        <v>1661</v>
      </c>
      <c r="W199" s="3" t="s">
        <v>42</v>
      </c>
      <c r="Y199" s="32"/>
      <c r="Z199" s="3"/>
      <c r="AA199" s="4"/>
      <c r="AB199" s="32"/>
      <c r="AC199" s="53"/>
      <c r="AD199" s="1">
        <v>46063</v>
      </c>
      <c r="AE199" s="24" t="s">
        <v>229</v>
      </c>
      <c r="AF199" s="19"/>
      <c r="AG199" s="19" t="s">
        <v>71</v>
      </c>
    </row>
    <row r="200" spans="1:33" ht="83.25" customHeight="1">
      <c r="A200" s="18">
        <v>196</v>
      </c>
      <c r="B200" s="18"/>
      <c r="C200" s="62">
        <v>46059.440636574102</v>
      </c>
      <c r="D200" s="23">
        <v>46059.460347222201</v>
      </c>
      <c r="E200" s="20">
        <f>DATE(YEAR(OfficeForms.Table[[#This Row],[Completion time]]), MONTH(OfficeForms.Table[[#This Row],[Completion time]]), DAY(OfficeForms.Table[[#This Row],[Completion time]]))</f>
        <v>46059</v>
      </c>
      <c r="F200" s="25" t="s">
        <v>559</v>
      </c>
      <c r="G200" s="7" t="s">
        <v>560</v>
      </c>
      <c r="H200" s="7" t="s">
        <v>1662</v>
      </c>
      <c r="I200" s="7" t="s">
        <v>1663</v>
      </c>
      <c r="J200" s="7" t="s">
        <v>1663</v>
      </c>
      <c r="K200" s="21" t="s">
        <v>1664</v>
      </c>
      <c r="L200" s="7" t="s">
        <v>346</v>
      </c>
      <c r="M200" s="86" t="s">
        <v>1665</v>
      </c>
      <c r="N200" s="55"/>
      <c r="O200" s="74" t="s">
        <v>1666</v>
      </c>
      <c r="P200" s="8" t="s">
        <v>40</v>
      </c>
      <c r="Q200" s="74" t="s">
        <v>1667</v>
      </c>
      <c r="R200" s="74" t="s">
        <v>1668</v>
      </c>
      <c r="S200" s="8" t="s">
        <v>1669</v>
      </c>
      <c r="T200" s="8" t="s">
        <v>1670</v>
      </c>
      <c r="U200" s="7" t="s">
        <v>560</v>
      </c>
      <c r="V200" s="8" t="s">
        <v>646</v>
      </c>
      <c r="W200" s="7" t="s">
        <v>119</v>
      </c>
      <c r="X200" s="23"/>
      <c r="Y200" s="25"/>
      <c r="Z200" s="7"/>
      <c r="AA200" s="53"/>
      <c r="AB200" s="25"/>
      <c r="AC200" s="53" t="s">
        <v>416</v>
      </c>
      <c r="AD200" s="20"/>
      <c r="AE200" s="16" t="s">
        <v>45</v>
      </c>
      <c r="AF200" s="19"/>
      <c r="AG200" s="19" t="s">
        <v>71</v>
      </c>
    </row>
    <row r="201" spans="1:33" ht="83.25" customHeight="1">
      <c r="A201" s="18">
        <v>150</v>
      </c>
      <c r="B201" s="18"/>
      <c r="C201" s="62">
        <v>45944.472546296303</v>
      </c>
      <c r="D201" s="23">
        <v>45944.478923611103</v>
      </c>
      <c r="E201" s="23">
        <f>DATE(YEAR(OfficeForms.Table[[#This Row],[Completion time]]), MONTH(OfficeForms.Table[[#This Row],[Completion time]]), DAY(OfficeForms.Table[[#This Row],[Completion time]]))</f>
        <v>45944</v>
      </c>
      <c r="F201" s="25" t="s">
        <v>1342</v>
      </c>
      <c r="G201" s="7" t="s">
        <v>703</v>
      </c>
      <c r="H201" s="7" t="s">
        <v>1671</v>
      </c>
      <c r="I201" s="7" t="s">
        <v>1672</v>
      </c>
      <c r="J201" s="7" t="s">
        <v>1673</v>
      </c>
      <c r="K201" s="21" t="s">
        <v>1674</v>
      </c>
      <c r="L201" s="7" t="s">
        <v>38</v>
      </c>
      <c r="M201" s="7" t="s">
        <v>1675</v>
      </c>
      <c r="N201" s="55"/>
      <c r="O201" s="74" t="s">
        <v>947</v>
      </c>
      <c r="P201" s="8" t="s">
        <v>40</v>
      </c>
      <c r="Q201" s="74" t="s">
        <v>1676</v>
      </c>
      <c r="R201" s="74" t="s">
        <v>1677</v>
      </c>
      <c r="S201" s="8" t="s">
        <v>1678</v>
      </c>
      <c r="T201" s="19"/>
      <c r="U201" s="7" t="s">
        <v>703</v>
      </c>
      <c r="V201" s="8" t="s">
        <v>1679</v>
      </c>
      <c r="W201" s="7" t="s">
        <v>42</v>
      </c>
      <c r="X201" s="23"/>
      <c r="Y201" s="25"/>
      <c r="Z201" s="7"/>
      <c r="AA201" s="53" t="s">
        <v>43</v>
      </c>
      <c r="AB201" s="7"/>
      <c r="AC201" s="53" t="s">
        <v>416</v>
      </c>
      <c r="AD201" s="20">
        <v>45944</v>
      </c>
      <c r="AE201" s="16" t="s">
        <v>621</v>
      </c>
      <c r="AF201" s="19"/>
      <c r="AG201" s="19" t="s">
        <v>1140</v>
      </c>
    </row>
    <row r="202" spans="1:33" ht="83.25" customHeight="1">
      <c r="A202" s="18">
        <v>198</v>
      </c>
      <c r="B202" s="18"/>
      <c r="C202" s="62">
        <v>46062.616053240701</v>
      </c>
      <c r="D202" s="23">
        <v>46062.618159722202</v>
      </c>
      <c r="E202" s="20">
        <f>DATE(YEAR(OfficeForms.Table[[#This Row],[Completion time]]), MONTH(OfficeForms.Table[[#This Row],[Completion time]]), DAY(OfficeForms.Table[[#This Row],[Completion time]]))</f>
        <v>46062</v>
      </c>
      <c r="F202" s="25" t="s">
        <v>251</v>
      </c>
      <c r="G202" s="7" t="s">
        <v>252</v>
      </c>
      <c r="H202" s="7" t="s">
        <v>1680</v>
      </c>
      <c r="I202" s="7" t="s">
        <v>1681</v>
      </c>
      <c r="J202" s="7" t="s">
        <v>1681</v>
      </c>
      <c r="K202" s="21" t="s">
        <v>1682</v>
      </c>
      <c r="L202" s="7" t="s">
        <v>38</v>
      </c>
      <c r="M202" s="86" t="s">
        <v>1683</v>
      </c>
      <c r="N202" s="55"/>
      <c r="O202" s="74" t="s">
        <v>1684</v>
      </c>
      <c r="P202" s="8" t="s">
        <v>40</v>
      </c>
      <c r="Q202" s="74" t="s">
        <v>1685</v>
      </c>
      <c r="R202" s="74" t="s">
        <v>1686</v>
      </c>
      <c r="S202" s="8" t="s">
        <v>1687</v>
      </c>
      <c r="T202" s="8" t="s">
        <v>432</v>
      </c>
      <c r="U202" s="7" t="s">
        <v>252</v>
      </c>
      <c r="V202" s="8" t="s">
        <v>1688</v>
      </c>
      <c r="W202" s="7" t="s">
        <v>152</v>
      </c>
      <c r="X202" s="23">
        <v>46066</v>
      </c>
      <c r="Y202" s="25"/>
      <c r="Z202" s="7"/>
      <c r="AA202" s="53" t="s">
        <v>356</v>
      </c>
      <c r="AB202" s="25" t="s">
        <v>129</v>
      </c>
      <c r="AC202" s="53" t="s">
        <v>44</v>
      </c>
      <c r="AD202" s="20">
        <v>46072</v>
      </c>
      <c r="AE202" s="16" t="s">
        <v>45</v>
      </c>
      <c r="AF202" s="19" t="s">
        <v>1689</v>
      </c>
      <c r="AG202" s="19" t="s">
        <v>71</v>
      </c>
    </row>
    <row r="203" spans="1:33" ht="83.25" customHeight="1">
      <c r="A203" s="18">
        <v>141</v>
      </c>
      <c r="B203" s="18"/>
      <c r="C203" s="62">
        <v>45926.7202314815</v>
      </c>
      <c r="D203" s="23">
        <v>45926.720300925903</v>
      </c>
      <c r="E203" s="23">
        <f>DATE(YEAR(OfficeForms.Table[[#This Row],[Completion time]]), MONTH(OfficeForms.Table[[#This Row],[Completion time]]), DAY(OfficeForms.Table[[#This Row],[Completion time]]))</f>
        <v>45926</v>
      </c>
      <c r="F203" s="25" t="s">
        <v>559</v>
      </c>
      <c r="G203" s="7" t="s">
        <v>560</v>
      </c>
      <c r="H203" s="7" t="s">
        <v>1690</v>
      </c>
      <c r="I203" s="7" t="s">
        <v>1691</v>
      </c>
      <c r="J203" s="7" t="s">
        <v>1691</v>
      </c>
      <c r="K203" s="21" t="s">
        <v>1692</v>
      </c>
      <c r="L203" s="7" t="s">
        <v>38</v>
      </c>
      <c r="M203" s="7" t="s">
        <v>1693</v>
      </c>
      <c r="N203" s="55" t="s">
        <v>1694</v>
      </c>
      <c r="O203" s="74" t="s">
        <v>1695</v>
      </c>
      <c r="P203" s="8" t="s">
        <v>40</v>
      </c>
      <c r="Q203" s="74" t="s">
        <v>1696</v>
      </c>
      <c r="R203" s="74" t="s">
        <v>1696</v>
      </c>
      <c r="S203" s="8" t="s">
        <v>1697</v>
      </c>
      <c r="T203" s="19"/>
      <c r="U203" s="7" t="s">
        <v>560</v>
      </c>
      <c r="V203" s="8" t="s">
        <v>646</v>
      </c>
      <c r="W203" s="7" t="s">
        <v>119</v>
      </c>
      <c r="X203" s="23"/>
      <c r="Y203" s="25"/>
      <c r="Z203" s="7"/>
      <c r="AA203" s="53" t="s">
        <v>1160</v>
      </c>
      <c r="AB203" s="7"/>
      <c r="AC203" s="53" t="s">
        <v>44</v>
      </c>
      <c r="AD203" s="20">
        <v>45926</v>
      </c>
      <c r="AE203" s="16" t="s">
        <v>1698</v>
      </c>
      <c r="AF203" s="19"/>
      <c r="AG203" s="19" t="s">
        <v>46</v>
      </c>
    </row>
    <row r="204" spans="1:33" ht="83.25" customHeight="1">
      <c r="A204" s="18">
        <v>217</v>
      </c>
      <c r="B204" s="18"/>
      <c r="C204" s="62">
        <v>46092.628946759301</v>
      </c>
      <c r="D204" s="23">
        <v>46092.637291666702</v>
      </c>
      <c r="E204" s="20">
        <f>DATE(YEAR(OfficeForms.Table[[#This Row],[Completion time]]), MONTH(OfficeForms.Table[[#This Row],[Completion time]]), DAY(OfficeForms.Table[[#This Row],[Completion time]]))</f>
        <v>46092</v>
      </c>
      <c r="F204" s="25" t="s">
        <v>559</v>
      </c>
      <c r="G204" s="7" t="s">
        <v>560</v>
      </c>
      <c r="H204" s="7"/>
      <c r="I204" s="7" t="s">
        <v>1699</v>
      </c>
      <c r="J204" s="7" t="s">
        <v>1699</v>
      </c>
      <c r="K204" s="21" t="s">
        <v>1692</v>
      </c>
      <c r="L204" s="7" t="s">
        <v>206</v>
      </c>
      <c r="M204" s="86" t="s">
        <v>1700</v>
      </c>
      <c r="N204" s="55"/>
      <c r="O204" s="74" t="s">
        <v>737</v>
      </c>
      <c r="P204" s="8" t="s">
        <v>40</v>
      </c>
      <c r="Q204" s="74" t="s">
        <v>1701</v>
      </c>
      <c r="R204" s="74" t="s">
        <v>1702</v>
      </c>
      <c r="S204" s="8" t="s">
        <v>1703</v>
      </c>
      <c r="T204" s="8" t="s">
        <v>1492</v>
      </c>
      <c r="U204" s="7" t="s">
        <v>560</v>
      </c>
      <c r="V204" s="8" t="s">
        <v>646</v>
      </c>
      <c r="W204" s="7" t="s">
        <v>119</v>
      </c>
      <c r="X204" s="23"/>
      <c r="Y204" s="25"/>
      <c r="Z204" s="7"/>
      <c r="AA204" s="53"/>
      <c r="AB204" s="25"/>
      <c r="AC204" s="53"/>
      <c r="AD204" s="20">
        <v>46092</v>
      </c>
      <c r="AE204" s="16" t="s">
        <v>621</v>
      </c>
      <c r="AF204" s="19"/>
      <c r="AG204" s="19" t="s">
        <v>657</v>
      </c>
    </row>
    <row r="205" spans="1:33" ht="83.25" customHeight="1">
      <c r="A205" s="18">
        <v>201</v>
      </c>
      <c r="B205" s="18"/>
      <c r="C205" s="62">
        <v>46064.824803240699</v>
      </c>
      <c r="D205" s="23">
        <v>46064.828310185199</v>
      </c>
      <c r="E205" s="20">
        <f>DATE(YEAR(OfficeForms.Table[[#This Row],[Completion time]]), MONTH(OfficeForms.Table[[#This Row],[Completion time]]), DAY(OfficeForms.Table[[#This Row],[Completion time]]))</f>
        <v>46064</v>
      </c>
      <c r="F205" s="25" t="s">
        <v>313</v>
      </c>
      <c r="G205" s="7" t="s">
        <v>314</v>
      </c>
      <c r="H205" s="7" t="s">
        <v>1704</v>
      </c>
      <c r="I205" s="7" t="s">
        <v>1705</v>
      </c>
      <c r="J205" s="7" t="s">
        <v>1705</v>
      </c>
      <c r="K205" s="21" t="s">
        <v>1706</v>
      </c>
      <c r="L205" s="7" t="s">
        <v>38</v>
      </c>
      <c r="M205" s="86" t="s">
        <v>1707</v>
      </c>
      <c r="N205" s="55"/>
      <c r="O205" s="74" t="s">
        <v>885</v>
      </c>
      <c r="P205" s="8" t="s">
        <v>834</v>
      </c>
      <c r="Q205" s="74" t="s">
        <v>1708</v>
      </c>
      <c r="R205" s="74" t="s">
        <v>1709</v>
      </c>
      <c r="S205" s="8" t="s">
        <v>1710</v>
      </c>
      <c r="T205" s="8" t="s">
        <v>1709</v>
      </c>
      <c r="U205" s="7" t="s">
        <v>314</v>
      </c>
      <c r="V205" s="8" t="s">
        <v>1711</v>
      </c>
      <c r="W205" s="7" t="s">
        <v>42</v>
      </c>
      <c r="X205" s="23"/>
      <c r="Y205" s="25"/>
      <c r="Z205" s="7"/>
      <c r="AA205" s="53"/>
      <c r="AB205" s="25"/>
      <c r="AC205" s="53"/>
      <c r="AD205" s="20">
        <v>46064</v>
      </c>
      <c r="AE205" s="16" t="s">
        <v>82</v>
      </c>
      <c r="AF205" s="19"/>
      <c r="AG205" s="19" t="s">
        <v>46</v>
      </c>
    </row>
    <row r="206" spans="1:33" ht="83.25" customHeight="1">
      <c r="A206" s="18">
        <v>202</v>
      </c>
      <c r="B206" s="18"/>
      <c r="C206" s="62">
        <v>46070.732499999998</v>
      </c>
      <c r="D206" s="23">
        <v>46070.739664351902</v>
      </c>
      <c r="E206" s="20">
        <v>46071</v>
      </c>
      <c r="F206" s="25" t="s">
        <v>1097</v>
      </c>
      <c r="G206" s="7" t="s">
        <v>1098</v>
      </c>
      <c r="H206" s="7" t="s">
        <v>1712</v>
      </c>
      <c r="I206" s="7" t="s">
        <v>1713</v>
      </c>
      <c r="J206" s="7" t="s">
        <v>1714</v>
      </c>
      <c r="K206" s="21" t="s">
        <v>599</v>
      </c>
      <c r="L206" s="7" t="s">
        <v>38</v>
      </c>
      <c r="M206" s="86" t="s">
        <v>1715</v>
      </c>
      <c r="N206" s="55"/>
      <c r="O206" s="74" t="s">
        <v>96</v>
      </c>
      <c r="P206" s="8" t="s">
        <v>96</v>
      </c>
      <c r="Q206" s="74" t="s">
        <v>96</v>
      </c>
      <c r="R206" s="74" t="s">
        <v>96</v>
      </c>
      <c r="S206" s="8" t="s">
        <v>1716</v>
      </c>
      <c r="T206" s="8" t="s">
        <v>96</v>
      </c>
      <c r="U206" s="7" t="s">
        <v>121</v>
      </c>
      <c r="V206" s="8" t="s">
        <v>96</v>
      </c>
      <c r="W206" s="7" t="s">
        <v>119</v>
      </c>
      <c r="X206" s="23"/>
      <c r="Y206" s="25"/>
      <c r="Z206" s="7"/>
      <c r="AA206" s="53"/>
      <c r="AB206" s="25"/>
      <c r="AC206" s="53" t="s">
        <v>130</v>
      </c>
      <c r="AD206" s="20"/>
      <c r="AE206" s="16" t="s">
        <v>45</v>
      </c>
      <c r="AF206" s="19"/>
      <c r="AG206" s="19" t="s">
        <v>46</v>
      </c>
    </row>
    <row r="207" spans="1:33" ht="83.25" customHeight="1">
      <c r="A207" s="18">
        <v>89</v>
      </c>
      <c r="B207" s="18"/>
      <c r="C207" s="62">
        <v>45873.667881944399</v>
      </c>
      <c r="D207" s="23">
        <v>45873.670324074097</v>
      </c>
      <c r="E207" s="23">
        <f>DATE(YEAR(OfficeForms.Table[[#This Row],[Completion time]]), MONTH(OfficeForms.Table[[#This Row],[Completion time]]), DAY(OfficeForms.Table[[#This Row],[Completion time]]))</f>
        <v>45873</v>
      </c>
      <c r="F207" s="7" t="s">
        <v>957</v>
      </c>
      <c r="G207" s="7" t="s">
        <v>958</v>
      </c>
      <c r="H207" s="7" t="s">
        <v>1717</v>
      </c>
      <c r="I207" s="7" t="s">
        <v>1718</v>
      </c>
      <c r="J207" s="7" t="s">
        <v>1719</v>
      </c>
      <c r="K207" s="21" t="s">
        <v>1720</v>
      </c>
      <c r="L207" s="7" t="s">
        <v>38</v>
      </c>
      <c r="M207" s="53" t="s">
        <v>634</v>
      </c>
      <c r="N207" s="55"/>
      <c r="O207" s="74" t="s">
        <v>915</v>
      </c>
      <c r="P207" s="8" t="s">
        <v>268</v>
      </c>
      <c r="Q207" s="74" t="s">
        <v>96</v>
      </c>
      <c r="R207" s="74" t="s">
        <v>96</v>
      </c>
      <c r="S207" s="8" t="s">
        <v>1721</v>
      </c>
      <c r="T207" s="19"/>
      <c r="U207" s="7" t="s">
        <v>958</v>
      </c>
      <c r="V207" s="7" t="s">
        <v>1722</v>
      </c>
      <c r="W207" s="7" t="s">
        <v>42</v>
      </c>
      <c r="X207" s="23"/>
      <c r="Y207" s="25"/>
      <c r="Z207" s="7"/>
      <c r="AA207" s="53" t="s">
        <v>43</v>
      </c>
      <c r="AB207" s="7"/>
      <c r="AC207" s="53" t="s">
        <v>53</v>
      </c>
      <c r="AD207" s="20">
        <v>45875</v>
      </c>
      <c r="AE207" s="16" t="s">
        <v>621</v>
      </c>
      <c r="AF207" s="19"/>
      <c r="AG207" s="19" t="s">
        <v>166</v>
      </c>
    </row>
    <row r="208" spans="1:33" ht="83.25" customHeight="1">
      <c r="A208" s="18">
        <v>204</v>
      </c>
      <c r="B208" s="18"/>
      <c r="C208" s="62">
        <v>46072.699780092596</v>
      </c>
      <c r="D208" s="23">
        <v>46072.705486111103</v>
      </c>
      <c r="E208" s="20">
        <f>DATE(YEAR(OfficeForms.Table[[#This Row],[Completion time]]), MONTH(OfficeForms.Table[[#This Row],[Completion time]]), DAY(OfficeForms.Table[[#This Row],[Completion time]]))</f>
        <v>46072</v>
      </c>
      <c r="F208" s="25" t="s">
        <v>559</v>
      </c>
      <c r="G208" s="7" t="s">
        <v>560</v>
      </c>
      <c r="H208" s="7" t="s">
        <v>1723</v>
      </c>
      <c r="I208" s="7" t="s">
        <v>1724</v>
      </c>
      <c r="J208" s="7" t="s">
        <v>1724</v>
      </c>
      <c r="K208" s="21" t="s">
        <v>799</v>
      </c>
      <c r="L208" s="7" t="s">
        <v>206</v>
      </c>
      <c r="M208" s="86" t="s">
        <v>1725</v>
      </c>
      <c r="N208" s="55"/>
      <c r="O208" s="74" t="s">
        <v>1089</v>
      </c>
      <c r="P208" s="8" t="s">
        <v>40</v>
      </c>
      <c r="Q208" s="74" t="s">
        <v>1726</v>
      </c>
      <c r="R208" s="74" t="s">
        <v>1727</v>
      </c>
      <c r="S208" s="8" t="s">
        <v>7</v>
      </c>
      <c r="T208" s="8" t="s">
        <v>1492</v>
      </c>
      <c r="U208" s="7" t="s">
        <v>560</v>
      </c>
      <c r="V208" s="8" t="s">
        <v>151</v>
      </c>
      <c r="W208" s="7" t="s">
        <v>119</v>
      </c>
      <c r="X208" s="23"/>
      <c r="Y208" s="25"/>
      <c r="Z208" s="7"/>
      <c r="AA208" s="53"/>
      <c r="AB208" s="25"/>
      <c r="AC208" s="53" t="s">
        <v>416</v>
      </c>
      <c r="AD208" s="20">
        <v>46073</v>
      </c>
      <c r="AE208" s="16" t="s">
        <v>229</v>
      </c>
      <c r="AF208" s="19"/>
      <c r="AG208" s="19"/>
    </row>
    <row r="209" spans="1:33" ht="83.25" customHeight="1">
      <c r="A209" s="18">
        <v>205</v>
      </c>
      <c r="B209" s="18"/>
      <c r="C209" s="62">
        <v>46073.615821759297</v>
      </c>
      <c r="D209" s="23">
        <v>46073.6179513889</v>
      </c>
      <c r="E209" s="20">
        <f>DATE(YEAR(OfficeForms.Table[[#This Row],[Completion time]]), MONTH(OfficeForms.Table[[#This Row],[Completion time]]), DAY(OfficeForms.Table[[#This Row],[Completion time]]))</f>
        <v>46073</v>
      </c>
      <c r="F209" s="25" t="s">
        <v>251</v>
      </c>
      <c r="G209" s="7" t="s">
        <v>252</v>
      </c>
      <c r="H209" s="7" t="s">
        <v>1728</v>
      </c>
      <c r="I209" s="7" t="s">
        <v>1729</v>
      </c>
      <c r="J209" s="7" t="s">
        <v>1729</v>
      </c>
      <c r="K209" s="21" t="s">
        <v>1730</v>
      </c>
      <c r="L209" s="7" t="s">
        <v>38</v>
      </c>
      <c r="M209" s="86" t="s">
        <v>1731</v>
      </c>
      <c r="N209" s="55"/>
      <c r="O209" s="74" t="s">
        <v>1128</v>
      </c>
      <c r="P209" s="8" t="s">
        <v>40</v>
      </c>
      <c r="Q209" s="74" t="s">
        <v>1499</v>
      </c>
      <c r="R209" s="74" t="s">
        <v>1732</v>
      </c>
      <c r="S209" s="8" t="s">
        <v>1484</v>
      </c>
      <c r="T209" s="8" t="s">
        <v>432</v>
      </c>
      <c r="U209" s="7" t="s">
        <v>1733</v>
      </c>
      <c r="V209" s="8" t="s">
        <v>1734</v>
      </c>
      <c r="W209" s="7" t="s">
        <v>152</v>
      </c>
      <c r="X209" s="23">
        <v>46101</v>
      </c>
      <c r="Y209" s="25"/>
      <c r="Z209" s="7"/>
      <c r="AA209" s="53" t="s">
        <v>43</v>
      </c>
      <c r="AB209" s="25"/>
      <c r="AC209" s="53" t="s">
        <v>44</v>
      </c>
      <c r="AD209" s="20">
        <v>46073</v>
      </c>
      <c r="AE209" s="16" t="s">
        <v>45</v>
      </c>
      <c r="AF209" s="19"/>
      <c r="AG209" s="19" t="s">
        <v>46</v>
      </c>
    </row>
    <row r="210" spans="1:33" ht="83.25" customHeight="1">
      <c r="A210" s="18">
        <v>206</v>
      </c>
      <c r="B210" s="18"/>
      <c r="C210" s="62">
        <v>46076.445150462998</v>
      </c>
      <c r="D210" s="23">
        <v>46076.4608912037</v>
      </c>
      <c r="E210" s="20">
        <f>DATE(YEAR(OfficeForms.Table[[#This Row],[Completion time]]), MONTH(OfficeForms.Table[[#This Row],[Completion time]]), DAY(OfficeForms.Table[[#This Row],[Completion time]]))</f>
        <v>46076</v>
      </c>
      <c r="F210" s="25" t="s">
        <v>175</v>
      </c>
      <c r="G210" s="7" t="s">
        <v>176</v>
      </c>
      <c r="H210" s="7" t="s">
        <v>1735</v>
      </c>
      <c r="I210" s="7" t="s">
        <v>1736</v>
      </c>
      <c r="J210" s="7" t="s">
        <v>1737</v>
      </c>
      <c r="K210" s="21" t="s">
        <v>205</v>
      </c>
      <c r="L210" s="7" t="s">
        <v>346</v>
      </c>
      <c r="M210" s="86" t="s">
        <v>1738</v>
      </c>
      <c r="N210" s="55"/>
      <c r="O210" s="74" t="s">
        <v>1739</v>
      </c>
      <c r="P210" s="8" t="s">
        <v>1740</v>
      </c>
      <c r="Q210" s="74" t="s">
        <v>1741</v>
      </c>
      <c r="R210" s="74" t="s">
        <v>96</v>
      </c>
      <c r="S210" s="8" t="s">
        <v>1742</v>
      </c>
      <c r="T210" s="8" t="s">
        <v>171</v>
      </c>
      <c r="U210" s="7" t="s">
        <v>210</v>
      </c>
      <c r="V210" s="8" t="s">
        <v>1743</v>
      </c>
      <c r="W210" s="7" t="s">
        <v>119</v>
      </c>
      <c r="X210" s="23"/>
      <c r="Y210" s="25" t="s">
        <v>1744</v>
      </c>
      <c r="Z210" s="25" t="s">
        <v>1745</v>
      </c>
      <c r="AA210" s="53" t="s">
        <v>43</v>
      </c>
      <c r="AB210" s="25"/>
      <c r="AC210" s="53" t="s">
        <v>130</v>
      </c>
      <c r="AD210" s="20"/>
      <c r="AE210" s="16" t="s">
        <v>45</v>
      </c>
      <c r="AF210" s="19"/>
      <c r="AG210" s="19" t="s">
        <v>46</v>
      </c>
    </row>
    <row r="211" spans="1:33" ht="83.25" customHeight="1">
      <c r="A211" s="18">
        <v>207</v>
      </c>
      <c r="B211" s="18"/>
      <c r="C211" s="62">
        <v>46077.058530092603</v>
      </c>
      <c r="D211" s="23">
        <v>46077.062476851803</v>
      </c>
      <c r="E211" s="20">
        <f>DATE(YEAR(OfficeForms.Table[[#This Row],[Completion time]]), MONTH(OfficeForms.Table[[#This Row],[Completion time]]), DAY(OfficeForms.Table[[#This Row],[Completion time]]))</f>
        <v>46077</v>
      </c>
      <c r="F211" s="25" t="s">
        <v>313</v>
      </c>
      <c r="G211" s="7" t="s">
        <v>314</v>
      </c>
      <c r="H211" s="7" t="s">
        <v>1746</v>
      </c>
      <c r="I211" s="7" t="s">
        <v>1747</v>
      </c>
      <c r="J211" s="7" t="s">
        <v>1747</v>
      </c>
      <c r="K211" s="21" t="s">
        <v>1706</v>
      </c>
      <c r="L211" s="7" t="s">
        <v>38</v>
      </c>
      <c r="M211" s="86" t="s">
        <v>1748</v>
      </c>
      <c r="N211" s="55"/>
      <c r="O211" s="74" t="s">
        <v>885</v>
      </c>
      <c r="P211" s="8" t="s">
        <v>268</v>
      </c>
      <c r="Q211" s="74" t="s">
        <v>1749</v>
      </c>
      <c r="R211" s="74" t="s">
        <v>96</v>
      </c>
      <c r="S211" s="8" t="s">
        <v>96</v>
      </c>
      <c r="T211" s="8" t="s">
        <v>96</v>
      </c>
      <c r="U211" s="7" t="s">
        <v>314</v>
      </c>
      <c r="V211" s="8" t="s">
        <v>1750</v>
      </c>
      <c r="W211" s="7" t="s">
        <v>152</v>
      </c>
      <c r="X211" s="23">
        <v>46142</v>
      </c>
      <c r="Y211" s="25"/>
      <c r="Z211" s="7"/>
      <c r="AA211" s="53"/>
      <c r="AB211" s="25"/>
      <c r="AC211" s="53" t="s">
        <v>53</v>
      </c>
      <c r="AD211" s="20">
        <v>46083</v>
      </c>
      <c r="AE211" s="16" t="s">
        <v>45</v>
      </c>
      <c r="AF211" s="19"/>
      <c r="AG211" s="19" t="s">
        <v>71</v>
      </c>
    </row>
    <row r="212" spans="1:33" ht="83.25" customHeight="1">
      <c r="A212" s="18">
        <v>208</v>
      </c>
      <c r="B212" s="18"/>
      <c r="C212" s="62">
        <v>46077.516215277799</v>
      </c>
      <c r="D212" s="23">
        <v>46077.517754629604</v>
      </c>
      <c r="E212" s="20">
        <f>DATE(YEAR(OfficeForms.Table[[#This Row],[Completion time]]), MONTH(OfficeForms.Table[[#This Row],[Completion time]]), DAY(OfficeForms.Table[[#This Row],[Completion time]]))</f>
        <v>46077</v>
      </c>
      <c r="F212" s="25" t="s">
        <v>559</v>
      </c>
      <c r="G212" s="7" t="s">
        <v>560</v>
      </c>
      <c r="H212" s="7" t="s">
        <v>1751</v>
      </c>
      <c r="I212" s="7" t="s">
        <v>1752</v>
      </c>
      <c r="J212" s="7" t="s">
        <v>1752</v>
      </c>
      <c r="K212" s="21" t="s">
        <v>799</v>
      </c>
      <c r="L212" s="7" t="s">
        <v>206</v>
      </c>
      <c r="M212" s="86" t="s">
        <v>1753</v>
      </c>
      <c r="N212" s="55"/>
      <c r="O212" s="74" t="s">
        <v>801</v>
      </c>
      <c r="P212" s="8" t="s">
        <v>40</v>
      </c>
      <c r="Q212" s="74" t="s">
        <v>1726</v>
      </c>
      <c r="R212" s="74" t="s">
        <v>1727</v>
      </c>
      <c r="S212" s="8" t="s">
        <v>1754</v>
      </c>
      <c r="T212" s="8" t="s">
        <v>1492</v>
      </c>
      <c r="U212" s="7" t="s">
        <v>560</v>
      </c>
      <c r="V212" s="8" t="s">
        <v>646</v>
      </c>
      <c r="W212" s="7" t="s">
        <v>119</v>
      </c>
      <c r="X212" s="23"/>
      <c r="Y212" s="25"/>
      <c r="Z212" s="7"/>
      <c r="AA212" s="53"/>
      <c r="AB212" s="25"/>
      <c r="AC212" s="53" t="s">
        <v>416</v>
      </c>
      <c r="AD212" s="20">
        <v>46077</v>
      </c>
      <c r="AE212" s="16" t="s">
        <v>229</v>
      </c>
      <c r="AF212" s="19"/>
      <c r="AG212" s="19"/>
    </row>
    <row r="213" spans="1:33" ht="83.25" customHeight="1">
      <c r="A213" s="18">
        <v>90</v>
      </c>
      <c r="B213" s="18"/>
      <c r="C213" s="62">
        <v>45873.6703935185</v>
      </c>
      <c r="D213" s="23">
        <v>45873.671435185199</v>
      </c>
      <c r="E213" s="23">
        <f>DATE(YEAR(OfficeForms.Table[[#This Row],[Completion time]]), MONTH(OfficeForms.Table[[#This Row],[Completion time]]), DAY(OfficeForms.Table[[#This Row],[Completion time]]))</f>
        <v>45873</v>
      </c>
      <c r="F213" s="7" t="s">
        <v>957</v>
      </c>
      <c r="G213" s="7" t="s">
        <v>958</v>
      </c>
      <c r="H213" s="7" t="s">
        <v>1717</v>
      </c>
      <c r="I213" s="7" t="s">
        <v>1755</v>
      </c>
      <c r="J213" s="7" t="s">
        <v>1719</v>
      </c>
      <c r="K213" s="21" t="s">
        <v>1720</v>
      </c>
      <c r="L213" s="7" t="s">
        <v>38</v>
      </c>
      <c r="M213" s="53" t="s">
        <v>634</v>
      </c>
      <c r="N213" s="55"/>
      <c r="O213" s="74" t="s">
        <v>915</v>
      </c>
      <c r="P213" s="8" t="s">
        <v>268</v>
      </c>
      <c r="Q213" s="74" t="s">
        <v>96</v>
      </c>
      <c r="R213" s="74" t="s">
        <v>96</v>
      </c>
      <c r="S213" s="8" t="s">
        <v>1721</v>
      </c>
      <c r="T213" s="19"/>
      <c r="U213" s="7" t="s">
        <v>958</v>
      </c>
      <c r="V213" s="7" t="s">
        <v>1722</v>
      </c>
      <c r="W213" s="7" t="s">
        <v>42</v>
      </c>
      <c r="X213" s="23"/>
      <c r="Y213" s="25"/>
      <c r="Z213" s="7"/>
      <c r="AA213" s="53" t="s">
        <v>43</v>
      </c>
      <c r="AB213" s="7"/>
      <c r="AC213" s="53" t="s">
        <v>53</v>
      </c>
      <c r="AD213" s="20">
        <v>45875</v>
      </c>
      <c r="AE213" s="16" t="s">
        <v>621</v>
      </c>
      <c r="AF213" s="19"/>
      <c r="AG213" s="19" t="s">
        <v>166</v>
      </c>
    </row>
    <row r="214" spans="1:33" ht="83.25" customHeight="1">
      <c r="A214" s="18">
        <v>91</v>
      </c>
      <c r="B214" s="18"/>
      <c r="C214" s="62">
        <v>45873.671458333301</v>
      </c>
      <c r="D214" s="23">
        <v>45873.672766203701</v>
      </c>
      <c r="E214" s="23">
        <f>DATE(YEAR(OfficeForms.Table[[#This Row],[Completion time]]), MONTH(OfficeForms.Table[[#This Row],[Completion time]]), DAY(OfficeForms.Table[[#This Row],[Completion time]]))</f>
        <v>45873</v>
      </c>
      <c r="F214" s="7" t="s">
        <v>957</v>
      </c>
      <c r="G214" s="7" t="s">
        <v>958</v>
      </c>
      <c r="H214" s="7" t="s">
        <v>1717</v>
      </c>
      <c r="I214" s="7" t="s">
        <v>1756</v>
      </c>
      <c r="J214" s="7" t="s">
        <v>1719</v>
      </c>
      <c r="K214" s="21" t="s">
        <v>1720</v>
      </c>
      <c r="L214" s="7" t="s">
        <v>38</v>
      </c>
      <c r="M214" s="53" t="s">
        <v>634</v>
      </c>
      <c r="N214" s="55"/>
      <c r="O214" s="74" t="s">
        <v>915</v>
      </c>
      <c r="P214" s="8" t="s">
        <v>268</v>
      </c>
      <c r="Q214" s="74" t="s">
        <v>171</v>
      </c>
      <c r="R214" s="74" t="s">
        <v>171</v>
      </c>
      <c r="S214" s="8" t="s">
        <v>1721</v>
      </c>
      <c r="T214" s="19"/>
      <c r="U214" s="7" t="s">
        <v>958</v>
      </c>
      <c r="V214" s="7" t="s">
        <v>1757</v>
      </c>
      <c r="W214" s="7" t="s">
        <v>42</v>
      </c>
      <c r="X214" s="23"/>
      <c r="Y214" s="25"/>
      <c r="Z214" s="7"/>
      <c r="AA214" s="53" t="s">
        <v>43</v>
      </c>
      <c r="AB214" s="7"/>
      <c r="AC214" s="53" t="s">
        <v>53</v>
      </c>
      <c r="AD214" s="20">
        <v>45875</v>
      </c>
      <c r="AE214" s="16" t="s">
        <v>621</v>
      </c>
      <c r="AF214" s="19"/>
      <c r="AG214" s="19" t="s">
        <v>166</v>
      </c>
    </row>
    <row r="215" spans="1:33" ht="83.25" customHeight="1">
      <c r="A215" s="18">
        <v>211</v>
      </c>
      <c r="B215" s="18"/>
      <c r="C215" s="62">
        <v>46079.729872685202</v>
      </c>
      <c r="D215" s="23">
        <v>46080.452951388899</v>
      </c>
      <c r="E215" s="20">
        <f>DATE(YEAR(OfficeForms.Table[[#This Row],[Completion time]]), MONTH(OfficeForms.Table[[#This Row],[Completion time]]), DAY(OfficeForms.Table[[#This Row],[Completion time]]))</f>
        <v>46080</v>
      </c>
      <c r="F215" s="25" t="s">
        <v>764</v>
      </c>
      <c r="G215" s="7" t="s">
        <v>765</v>
      </c>
      <c r="H215" s="7" t="s">
        <v>1758</v>
      </c>
      <c r="I215" s="7" t="s">
        <v>1759</v>
      </c>
      <c r="J215" s="7" t="s">
        <v>1760</v>
      </c>
      <c r="K215" s="21" t="s">
        <v>1275</v>
      </c>
      <c r="L215" s="7" t="s">
        <v>38</v>
      </c>
      <c r="M215" s="86" t="s">
        <v>1761</v>
      </c>
      <c r="N215" s="55"/>
      <c r="O215" s="74" t="s">
        <v>1762</v>
      </c>
      <c r="P215" s="8" t="s">
        <v>1763</v>
      </c>
      <c r="Q215" s="74" t="s">
        <v>1764</v>
      </c>
      <c r="R215" s="74" t="s">
        <v>1765</v>
      </c>
      <c r="S215" s="8" t="s">
        <v>1766</v>
      </c>
      <c r="T215" s="8" t="s">
        <v>1767</v>
      </c>
      <c r="U215" s="7" t="s">
        <v>629</v>
      </c>
      <c r="V215" s="8" t="s">
        <v>1768</v>
      </c>
      <c r="W215" s="7" t="s">
        <v>42</v>
      </c>
      <c r="X215" s="23"/>
      <c r="Y215" s="25"/>
      <c r="Z215" s="7"/>
      <c r="AA215" s="53"/>
      <c r="AB215" s="25"/>
      <c r="AC215" s="53"/>
      <c r="AD215" s="20"/>
      <c r="AE215" s="16" t="s">
        <v>82</v>
      </c>
      <c r="AF215" s="19"/>
      <c r="AG215" s="19"/>
    </row>
    <row r="216" spans="1:33" ht="83.25" customHeight="1">
      <c r="A216" s="18">
        <v>212</v>
      </c>
      <c r="B216" s="18"/>
      <c r="C216" s="62">
        <v>46080.612835648099</v>
      </c>
      <c r="D216" s="23">
        <v>46080.614305555602</v>
      </c>
      <c r="E216" s="20">
        <f>DATE(YEAR(OfficeForms.Table[[#This Row],[Completion time]]), MONTH(OfficeForms.Table[[#This Row],[Completion time]]), DAY(OfficeForms.Table[[#This Row],[Completion time]]))</f>
        <v>46080</v>
      </c>
      <c r="F216" s="25" t="s">
        <v>120</v>
      </c>
      <c r="G216" s="7" t="s">
        <v>1221</v>
      </c>
      <c r="H216" s="7" t="s">
        <v>1769</v>
      </c>
      <c r="I216" s="7" t="s">
        <v>1770</v>
      </c>
      <c r="J216" s="7" t="s">
        <v>1771</v>
      </c>
      <c r="K216" s="21" t="s">
        <v>1730</v>
      </c>
      <c r="L216" s="7" t="s">
        <v>346</v>
      </c>
      <c r="M216" s="86" t="s">
        <v>1772</v>
      </c>
      <c r="N216" s="55"/>
      <c r="O216" s="74" t="s">
        <v>96</v>
      </c>
      <c r="P216" s="8" t="s">
        <v>96</v>
      </c>
      <c r="Q216" s="74" t="s">
        <v>96</v>
      </c>
      <c r="R216" s="74" t="s">
        <v>96</v>
      </c>
      <c r="S216" s="8" t="s">
        <v>96</v>
      </c>
      <c r="T216" s="8" t="s">
        <v>96</v>
      </c>
      <c r="U216" s="7" t="s">
        <v>210</v>
      </c>
      <c r="V216" s="8" t="s">
        <v>96</v>
      </c>
      <c r="W216" s="7" t="s">
        <v>119</v>
      </c>
      <c r="X216" s="23"/>
      <c r="Y216" s="25" t="s">
        <v>129</v>
      </c>
      <c r="Z216" s="7"/>
      <c r="AA216" s="53" t="s">
        <v>609</v>
      </c>
      <c r="AB216" s="25"/>
      <c r="AC216" s="53" t="s">
        <v>130</v>
      </c>
      <c r="AD216" s="20"/>
      <c r="AE216" s="16" t="s">
        <v>45</v>
      </c>
      <c r="AF216" s="19" t="s">
        <v>1773</v>
      </c>
      <c r="AG216" s="19" t="s">
        <v>71</v>
      </c>
    </row>
    <row r="217" spans="1:33" ht="83.25" customHeight="1">
      <c r="A217" s="18">
        <v>92</v>
      </c>
      <c r="B217" s="18"/>
      <c r="C217" s="62">
        <v>45873.672835648104</v>
      </c>
      <c r="D217" s="23">
        <v>45873.673877314803</v>
      </c>
      <c r="E217" s="23">
        <f>DATE(YEAR(OfficeForms.Table[[#This Row],[Completion time]]), MONTH(OfficeForms.Table[[#This Row],[Completion time]]), DAY(OfficeForms.Table[[#This Row],[Completion time]]))</f>
        <v>45873</v>
      </c>
      <c r="F217" s="7" t="s">
        <v>957</v>
      </c>
      <c r="G217" s="7" t="s">
        <v>958</v>
      </c>
      <c r="H217" s="3" t="s">
        <v>1717</v>
      </c>
      <c r="I217" s="7" t="s">
        <v>1774</v>
      </c>
      <c r="J217" s="7" t="s">
        <v>1719</v>
      </c>
      <c r="K217" s="21" t="s">
        <v>1720</v>
      </c>
      <c r="L217" s="7" t="s">
        <v>38</v>
      </c>
      <c r="M217" s="53" t="s">
        <v>634</v>
      </c>
      <c r="N217" s="55"/>
      <c r="O217" s="74" t="s">
        <v>915</v>
      </c>
      <c r="P217" s="8" t="s">
        <v>268</v>
      </c>
      <c r="Q217" s="74" t="s">
        <v>171</v>
      </c>
      <c r="R217" s="74" t="s">
        <v>171</v>
      </c>
      <c r="S217" s="8" t="s">
        <v>1721</v>
      </c>
      <c r="T217" s="19"/>
      <c r="U217" s="7" t="s">
        <v>958</v>
      </c>
      <c r="V217" s="7" t="s">
        <v>1757</v>
      </c>
      <c r="W217" s="7" t="s">
        <v>42</v>
      </c>
      <c r="X217" s="23"/>
      <c r="Y217" s="25"/>
      <c r="Z217" s="7"/>
      <c r="AA217" s="53" t="s">
        <v>43</v>
      </c>
      <c r="AB217" s="7"/>
      <c r="AC217" s="53" t="s">
        <v>53</v>
      </c>
      <c r="AD217" s="20">
        <v>45875</v>
      </c>
      <c r="AE217" s="16" t="s">
        <v>621</v>
      </c>
      <c r="AF217" s="19"/>
      <c r="AG217" s="19" t="s">
        <v>166</v>
      </c>
    </row>
    <row r="218" spans="1:33" ht="83.25" customHeight="1">
      <c r="A218" s="18">
        <v>93</v>
      </c>
      <c r="B218" s="18"/>
      <c r="C218" s="62">
        <v>45873.67391203704</v>
      </c>
      <c r="D218" s="23">
        <v>45873.674756944441</v>
      </c>
      <c r="E218" s="23">
        <f>DATE(YEAR(OfficeForms.Table[[#This Row],[Completion time]]), MONTH(OfficeForms.Table[[#This Row],[Completion time]]), DAY(OfficeForms.Table[[#This Row],[Completion time]]))</f>
        <v>45873</v>
      </c>
      <c r="F218" s="7" t="s">
        <v>957</v>
      </c>
      <c r="G218" s="7" t="s">
        <v>958</v>
      </c>
      <c r="H218" s="7" t="s">
        <v>1717</v>
      </c>
      <c r="I218" s="7" t="s">
        <v>1775</v>
      </c>
      <c r="J218" s="7" t="s">
        <v>1719</v>
      </c>
      <c r="K218" s="21" t="s">
        <v>1720</v>
      </c>
      <c r="L218" s="7" t="s">
        <v>38</v>
      </c>
      <c r="M218" s="53" t="s">
        <v>634</v>
      </c>
      <c r="N218" s="55"/>
      <c r="O218" s="74" t="s">
        <v>915</v>
      </c>
      <c r="P218" s="8" t="s">
        <v>268</v>
      </c>
      <c r="Q218" s="74" t="s">
        <v>171</v>
      </c>
      <c r="R218" s="74" t="s">
        <v>171</v>
      </c>
      <c r="S218" s="8" t="s">
        <v>1721</v>
      </c>
      <c r="T218" s="19"/>
      <c r="U218" s="7" t="s">
        <v>958</v>
      </c>
      <c r="V218" s="7" t="s">
        <v>1722</v>
      </c>
      <c r="W218" s="7" t="s">
        <v>42</v>
      </c>
      <c r="X218" s="23"/>
      <c r="Y218" s="25"/>
      <c r="Z218" s="7"/>
      <c r="AA218" s="53" t="s">
        <v>43</v>
      </c>
      <c r="AB218" s="7"/>
      <c r="AC218" s="53" t="s">
        <v>53</v>
      </c>
      <c r="AD218" s="20">
        <v>45875</v>
      </c>
      <c r="AE218" s="16" t="s">
        <v>621</v>
      </c>
      <c r="AF218" s="19"/>
      <c r="AG218" s="19" t="s">
        <v>166</v>
      </c>
    </row>
    <row r="219" spans="1:33" ht="83.25" customHeight="1">
      <c r="A219" s="18">
        <v>215</v>
      </c>
      <c r="B219" s="18"/>
      <c r="C219" s="62">
        <v>46086.442974537</v>
      </c>
      <c r="D219" s="23">
        <v>46086.444120370397</v>
      </c>
      <c r="E219" s="20">
        <f>DATE(YEAR(OfficeForms.Table[[#This Row],[Completion time]]), MONTH(OfficeForms.Table[[#This Row],[Completion time]]), DAY(OfficeForms.Table[[#This Row],[Completion time]]))</f>
        <v>46086</v>
      </c>
      <c r="F219" s="25" t="s">
        <v>874</v>
      </c>
      <c r="G219" s="7" t="s">
        <v>875</v>
      </c>
      <c r="H219" s="7" t="s">
        <v>1776</v>
      </c>
      <c r="I219" s="7" t="s">
        <v>1777</v>
      </c>
      <c r="J219" s="7" t="s">
        <v>1778</v>
      </c>
      <c r="K219" s="21" t="s">
        <v>362</v>
      </c>
      <c r="L219" s="7" t="s">
        <v>38</v>
      </c>
      <c r="M219" s="86" t="s">
        <v>1779</v>
      </c>
      <c r="N219" s="55"/>
      <c r="O219" s="74" t="s">
        <v>96</v>
      </c>
      <c r="P219" s="8" t="s">
        <v>96</v>
      </c>
      <c r="Q219" s="74" t="s">
        <v>96</v>
      </c>
      <c r="R219" s="74" t="s">
        <v>96</v>
      </c>
      <c r="S219" s="8" t="s">
        <v>96</v>
      </c>
      <c r="T219" s="8" t="s">
        <v>96</v>
      </c>
      <c r="U219" s="7" t="s">
        <v>1780</v>
      </c>
      <c r="V219" s="8" t="s">
        <v>96</v>
      </c>
      <c r="W219" s="7" t="s">
        <v>119</v>
      </c>
      <c r="X219" s="23"/>
      <c r="Y219" s="25"/>
      <c r="Z219" s="7"/>
      <c r="AA219" s="53" t="s">
        <v>43</v>
      </c>
      <c r="AB219" s="25"/>
      <c r="AC219" s="53" t="s">
        <v>130</v>
      </c>
      <c r="AD219" s="20">
        <v>46086</v>
      </c>
      <c r="AE219" s="16" t="s">
        <v>45</v>
      </c>
      <c r="AF219" s="19"/>
      <c r="AG219" s="19" t="s">
        <v>46</v>
      </c>
    </row>
    <row r="220" spans="1:33" ht="83.25" customHeight="1">
      <c r="A220" s="18">
        <v>94</v>
      </c>
      <c r="B220" s="18"/>
      <c r="C220" s="62">
        <v>45873.674780092602</v>
      </c>
      <c r="D220" s="23">
        <v>45873.675960648201</v>
      </c>
      <c r="E220" s="23">
        <f>DATE(YEAR(OfficeForms.Table[[#This Row],[Completion time]]), MONTH(OfficeForms.Table[[#This Row],[Completion time]]), DAY(OfficeForms.Table[[#This Row],[Completion time]]))</f>
        <v>45873</v>
      </c>
      <c r="F220" s="7" t="s">
        <v>957</v>
      </c>
      <c r="G220" s="7" t="s">
        <v>958</v>
      </c>
      <c r="H220" s="7" t="s">
        <v>1717</v>
      </c>
      <c r="I220" s="7" t="s">
        <v>1781</v>
      </c>
      <c r="J220" s="7" t="s">
        <v>1719</v>
      </c>
      <c r="K220" s="21" t="s">
        <v>1720</v>
      </c>
      <c r="L220" s="7" t="s">
        <v>38</v>
      </c>
      <c r="M220" s="53" t="s">
        <v>634</v>
      </c>
      <c r="N220" s="55"/>
      <c r="O220" s="74" t="s">
        <v>915</v>
      </c>
      <c r="P220" s="8" t="s">
        <v>268</v>
      </c>
      <c r="Q220" s="74" t="s">
        <v>171</v>
      </c>
      <c r="R220" s="74" t="s">
        <v>171</v>
      </c>
      <c r="S220" s="8" t="s">
        <v>1721</v>
      </c>
      <c r="T220" s="19"/>
      <c r="U220" s="7" t="s">
        <v>958</v>
      </c>
      <c r="V220" s="7" t="s">
        <v>1722</v>
      </c>
      <c r="W220" s="7" t="s">
        <v>42</v>
      </c>
      <c r="X220" s="23"/>
      <c r="Y220" s="25"/>
      <c r="Z220" s="7"/>
      <c r="AA220" s="53" t="s">
        <v>43</v>
      </c>
      <c r="AB220" s="7"/>
      <c r="AC220" s="53" t="s">
        <v>53</v>
      </c>
      <c r="AD220" s="20">
        <v>45875</v>
      </c>
      <c r="AE220" s="16" t="s">
        <v>621</v>
      </c>
      <c r="AF220" s="19"/>
      <c r="AG220" s="19" t="s">
        <v>166</v>
      </c>
    </row>
    <row r="221" spans="1:33" ht="83.25" customHeight="1">
      <c r="A221" s="22">
        <v>95</v>
      </c>
      <c r="B221" s="18"/>
      <c r="C221" s="60">
        <v>45873.675983796304</v>
      </c>
      <c r="D221" s="17">
        <v>45873.677060185197</v>
      </c>
      <c r="E221" s="17">
        <f>DATE(YEAR(OfficeForms.Table[[#This Row],[Completion time]]), MONTH(OfficeForms.Table[[#This Row],[Completion time]]), DAY(OfficeForms.Table[[#This Row],[Completion time]]))</f>
        <v>45873</v>
      </c>
      <c r="F221" s="3" t="s">
        <v>957</v>
      </c>
      <c r="G221" s="3" t="s">
        <v>958</v>
      </c>
      <c r="H221" s="3" t="s">
        <v>1717</v>
      </c>
      <c r="I221" s="3" t="s">
        <v>1782</v>
      </c>
      <c r="J221" s="3" t="s">
        <v>1719</v>
      </c>
      <c r="K221" s="21" t="s">
        <v>1720</v>
      </c>
      <c r="L221" s="3" t="s">
        <v>38</v>
      </c>
      <c r="M221" s="4" t="s">
        <v>634</v>
      </c>
      <c r="N221" s="55"/>
      <c r="O221" s="76" t="s">
        <v>915</v>
      </c>
      <c r="P221" s="9" t="s">
        <v>268</v>
      </c>
      <c r="Q221" s="76" t="s">
        <v>171</v>
      </c>
      <c r="R221" s="76" t="s">
        <v>171</v>
      </c>
      <c r="S221" s="9" t="s">
        <v>1721</v>
      </c>
      <c r="T221" s="19"/>
      <c r="U221" s="3" t="s">
        <v>958</v>
      </c>
      <c r="V221" s="3" t="s">
        <v>1722</v>
      </c>
      <c r="W221" s="3" t="s">
        <v>42</v>
      </c>
      <c r="Y221" s="32"/>
      <c r="Z221" s="3"/>
      <c r="AA221" s="4" t="s">
        <v>43</v>
      </c>
      <c r="AB221" s="3"/>
      <c r="AC221" s="53" t="s">
        <v>53</v>
      </c>
      <c r="AD221" s="1">
        <v>45875</v>
      </c>
      <c r="AE221" s="24" t="s">
        <v>621</v>
      </c>
      <c r="AF221" s="19"/>
      <c r="AG221" s="19" t="s">
        <v>166</v>
      </c>
    </row>
    <row r="222" spans="1:33" ht="83.25" customHeight="1">
      <c r="A222" s="18">
        <v>79</v>
      </c>
      <c r="B222" s="18"/>
      <c r="C222" s="62">
        <v>45861.646932870397</v>
      </c>
      <c r="D222" s="23">
        <v>45861.650254629603</v>
      </c>
      <c r="E222" s="23">
        <f>DATE(YEAR(OfficeForms.Table[[#This Row],[Completion time]]), MONTH(OfficeForms.Table[[#This Row],[Completion time]]), DAY(OfficeForms.Table[[#This Row],[Completion time]]))</f>
        <v>45861</v>
      </c>
      <c r="F222" s="7" t="s">
        <v>175</v>
      </c>
      <c r="G222" s="7" t="s">
        <v>176</v>
      </c>
      <c r="H222" s="7" t="s">
        <v>1783</v>
      </c>
      <c r="I222" s="7" t="s">
        <v>1784</v>
      </c>
      <c r="J222" s="7" t="s">
        <v>1785</v>
      </c>
      <c r="K222" s="21" t="s">
        <v>1786</v>
      </c>
      <c r="L222" s="7" t="s">
        <v>206</v>
      </c>
      <c r="M222" s="7" t="s">
        <v>1787</v>
      </c>
      <c r="N222" s="55"/>
      <c r="O222" s="19">
        <v>250000</v>
      </c>
      <c r="P222" s="8" t="s">
        <v>1788</v>
      </c>
      <c r="Q222" s="19">
        <v>60</v>
      </c>
      <c r="R222" s="19">
        <v>60</v>
      </c>
      <c r="S222" s="8" t="s">
        <v>1789</v>
      </c>
      <c r="T222" s="19"/>
      <c r="U222" s="7" t="s">
        <v>1790</v>
      </c>
      <c r="V222" s="7" t="s">
        <v>1791</v>
      </c>
      <c r="W222" s="7" t="s">
        <v>119</v>
      </c>
      <c r="X222" s="23"/>
      <c r="Y222" s="25"/>
      <c r="Z222" s="7"/>
      <c r="AA222" s="53" t="s">
        <v>1160</v>
      </c>
      <c r="AB222" s="7"/>
      <c r="AC222" s="53" t="s">
        <v>130</v>
      </c>
      <c r="AD222" s="20">
        <v>45880</v>
      </c>
      <c r="AE222" s="16" t="s">
        <v>621</v>
      </c>
      <c r="AF222" s="19"/>
      <c r="AG222" s="19" t="s">
        <v>132</v>
      </c>
    </row>
    <row r="223" spans="1:33" ht="83.25" customHeight="1">
      <c r="A223" s="18">
        <v>219</v>
      </c>
      <c r="B223" s="18"/>
      <c r="C223" s="62">
        <v>46093.646087963003</v>
      </c>
      <c r="D223" s="23">
        <v>46093.648831018501</v>
      </c>
      <c r="E223" s="20">
        <f>DATE(YEAR(OfficeForms.Table[[#This Row],[Completion time]]), MONTH(OfficeForms.Table[[#This Row],[Completion time]]), DAY(OfficeForms.Table[[#This Row],[Completion time]]))</f>
        <v>46093</v>
      </c>
      <c r="F223" s="25" t="s">
        <v>559</v>
      </c>
      <c r="G223" s="7" t="s">
        <v>560</v>
      </c>
      <c r="H223" s="7" t="s">
        <v>1792</v>
      </c>
      <c r="I223" s="7" t="s">
        <v>1793</v>
      </c>
      <c r="J223" s="7" t="s">
        <v>1793</v>
      </c>
      <c r="K223" s="21" t="s">
        <v>1692</v>
      </c>
      <c r="L223" s="7" t="s">
        <v>38</v>
      </c>
      <c r="M223" s="86" t="s">
        <v>1794</v>
      </c>
      <c r="N223" s="55"/>
      <c r="O223" s="74" t="s">
        <v>737</v>
      </c>
      <c r="P223" s="8" t="s">
        <v>40</v>
      </c>
      <c r="Q223" s="74" t="s">
        <v>1795</v>
      </c>
      <c r="R223" s="74" t="s">
        <v>1796</v>
      </c>
      <c r="S223" s="8" t="s">
        <v>1797</v>
      </c>
      <c r="T223" s="8" t="s">
        <v>1492</v>
      </c>
      <c r="U223" s="7" t="s">
        <v>560</v>
      </c>
      <c r="V223" s="8" t="s">
        <v>1798</v>
      </c>
      <c r="W223" s="7" t="s">
        <v>119</v>
      </c>
      <c r="X223" s="23"/>
      <c r="Y223" s="25"/>
      <c r="Z223" s="7"/>
      <c r="AA223" s="53"/>
      <c r="AB223" s="25"/>
      <c r="AC223" s="53" t="s">
        <v>416</v>
      </c>
      <c r="AD223" s="20"/>
      <c r="AE223" s="16" t="s">
        <v>45</v>
      </c>
      <c r="AF223" s="19"/>
      <c r="AG223" s="19"/>
    </row>
    <row r="224" spans="1:33" ht="83.25" customHeight="1">
      <c r="A224" s="22">
        <v>161</v>
      </c>
      <c r="B224" s="18"/>
      <c r="C224" s="60">
        <v>45965.651701388902</v>
      </c>
      <c r="D224" s="17">
        <v>45965.670763888898</v>
      </c>
      <c r="E224" s="1">
        <v>45966</v>
      </c>
      <c r="F224" s="32" t="s">
        <v>1002</v>
      </c>
      <c r="G224" s="3" t="s">
        <v>1003</v>
      </c>
      <c r="H224" s="3" t="s">
        <v>1799</v>
      </c>
      <c r="I224" s="3" t="s">
        <v>1800</v>
      </c>
      <c r="J224" s="3" t="s">
        <v>1801</v>
      </c>
      <c r="K224" s="21" t="s">
        <v>137</v>
      </c>
      <c r="L224" s="3" t="s">
        <v>38</v>
      </c>
      <c r="M224" s="3" t="s">
        <v>1802</v>
      </c>
      <c r="N224" s="55" t="s">
        <v>1803</v>
      </c>
      <c r="O224" s="76" t="s">
        <v>1390</v>
      </c>
      <c r="P224" s="9" t="s">
        <v>40</v>
      </c>
      <c r="Q224" s="76" t="s">
        <v>1392</v>
      </c>
      <c r="R224" s="76" t="s">
        <v>1393</v>
      </c>
      <c r="S224" s="9" t="s">
        <v>1804</v>
      </c>
      <c r="T224" s="7" t="s">
        <v>96</v>
      </c>
      <c r="U224" s="3" t="s">
        <v>1395</v>
      </c>
      <c r="V224" s="9" t="s">
        <v>1805</v>
      </c>
      <c r="W224" s="3" t="s">
        <v>119</v>
      </c>
      <c r="Y224" s="32"/>
      <c r="Z224" s="3"/>
      <c r="AA224" s="4"/>
      <c r="AB224" s="3"/>
      <c r="AC224" s="53" t="s">
        <v>130</v>
      </c>
      <c r="AD224" s="17">
        <v>45973</v>
      </c>
      <c r="AE224" s="24" t="s">
        <v>621</v>
      </c>
      <c r="AF224" s="19"/>
      <c r="AG224" s="19" t="s">
        <v>46</v>
      </c>
    </row>
    <row r="225" spans="1:33" ht="83.25" customHeight="1">
      <c r="A225" s="18">
        <v>214</v>
      </c>
      <c r="B225" s="18"/>
      <c r="C225" s="62">
        <v>46083.435740740701</v>
      </c>
      <c r="D225" s="23">
        <v>46083.436585648102</v>
      </c>
      <c r="E225" s="20">
        <f>DATE(YEAR(OfficeForms.Table[[#This Row],[Completion time]]), MONTH(OfficeForms.Table[[#This Row],[Completion time]]), DAY(OfficeForms.Table[[#This Row],[Completion time]]))</f>
        <v>46083</v>
      </c>
      <c r="F225" s="25" t="s">
        <v>175</v>
      </c>
      <c r="G225" s="7" t="s">
        <v>176</v>
      </c>
      <c r="H225" s="7" t="s">
        <v>1806</v>
      </c>
      <c r="I225" s="7" t="s">
        <v>1807</v>
      </c>
      <c r="J225" s="7" t="s">
        <v>1808</v>
      </c>
      <c r="K225" s="21" t="s">
        <v>137</v>
      </c>
      <c r="L225" s="7" t="s">
        <v>38</v>
      </c>
      <c r="M225" s="86" t="s">
        <v>1809</v>
      </c>
      <c r="N225" s="55"/>
      <c r="O225" s="74" t="s">
        <v>1810</v>
      </c>
      <c r="P225" s="8" t="s">
        <v>40</v>
      </c>
      <c r="Q225" s="74" t="s">
        <v>96</v>
      </c>
      <c r="R225" s="74" t="s">
        <v>96</v>
      </c>
      <c r="S225" s="8" t="s">
        <v>96</v>
      </c>
      <c r="T225" s="8" t="s">
        <v>1773</v>
      </c>
      <c r="U225" s="7" t="s">
        <v>210</v>
      </c>
      <c r="V225" s="8" t="s">
        <v>1811</v>
      </c>
      <c r="W225" s="7" t="s">
        <v>119</v>
      </c>
      <c r="X225" s="23"/>
      <c r="Y225" s="25"/>
      <c r="Z225" s="7"/>
      <c r="AA225" s="53"/>
      <c r="AB225" s="25"/>
      <c r="AC225" s="53"/>
      <c r="AD225" s="20">
        <v>46091</v>
      </c>
      <c r="AE225" s="16" t="s">
        <v>621</v>
      </c>
      <c r="AF225" s="19"/>
      <c r="AG225" s="19" t="s">
        <v>46</v>
      </c>
    </row>
    <row r="226" spans="1:33" ht="83.25" customHeight="1">
      <c r="A226" s="18">
        <v>222</v>
      </c>
      <c r="B226" s="18"/>
      <c r="C226" s="62">
        <v>46097.724456018499</v>
      </c>
      <c r="D226" s="23">
        <v>46097.730729166702</v>
      </c>
      <c r="E226" s="20">
        <f>DATE(YEAR(OfficeForms.Table[[#This Row],[Completion time]]), MONTH(OfficeForms.Table[[#This Row],[Completion time]]), DAY(OfficeForms.Table[[#This Row],[Completion time]]))</f>
        <v>46097</v>
      </c>
      <c r="F226" s="25" t="s">
        <v>1342</v>
      </c>
      <c r="G226" s="7" t="s">
        <v>703</v>
      </c>
      <c r="H226" s="7" t="s">
        <v>1812</v>
      </c>
      <c r="I226" s="7" t="s">
        <v>1813</v>
      </c>
      <c r="J226" s="7" t="s">
        <v>1814</v>
      </c>
      <c r="K226" s="21" t="s">
        <v>1815</v>
      </c>
      <c r="L226" s="7" t="s">
        <v>38</v>
      </c>
      <c r="M226" s="86" t="s">
        <v>1816</v>
      </c>
      <c r="N226" s="55"/>
      <c r="O226" s="74" t="s">
        <v>737</v>
      </c>
      <c r="P226" s="8" t="s">
        <v>1817</v>
      </c>
      <c r="Q226" s="74" t="s">
        <v>1818</v>
      </c>
      <c r="R226" s="74" t="s">
        <v>96</v>
      </c>
      <c r="S226" s="8" t="s">
        <v>1819</v>
      </c>
      <c r="T226" s="8" t="s">
        <v>96</v>
      </c>
      <c r="U226" s="7" t="s">
        <v>703</v>
      </c>
      <c r="V226" s="8" t="s">
        <v>1820</v>
      </c>
      <c r="W226" s="7" t="s">
        <v>152</v>
      </c>
      <c r="X226" s="23">
        <v>46111</v>
      </c>
      <c r="Y226" s="25"/>
      <c r="Z226" s="7"/>
      <c r="AA226" s="53"/>
      <c r="AB226" s="25"/>
      <c r="AC226" s="53" t="s">
        <v>416</v>
      </c>
      <c r="AD226" s="20">
        <v>46097</v>
      </c>
      <c r="AE226" s="16" t="s">
        <v>229</v>
      </c>
      <c r="AF226" s="19"/>
      <c r="AG226" s="19" t="s">
        <v>657</v>
      </c>
    </row>
    <row r="227" spans="1:33" ht="83.25" customHeight="1">
      <c r="A227" s="18">
        <v>190</v>
      </c>
      <c r="B227" s="18"/>
      <c r="C227" s="62">
        <v>46020.9972569444</v>
      </c>
      <c r="D227" s="23">
        <v>46020.9991435185</v>
      </c>
      <c r="E227" s="20">
        <f>DATE(YEAR(OfficeForms.Table[[#This Row],[Completion time]]), MONTH(OfficeForms.Table[[#This Row],[Completion time]]), DAY(OfficeForms.Table[[#This Row],[Completion time]]))</f>
        <v>46020</v>
      </c>
      <c r="F227" s="25" t="s">
        <v>155</v>
      </c>
      <c r="G227" s="7" t="s">
        <v>121</v>
      </c>
      <c r="H227" s="7" t="s">
        <v>1821</v>
      </c>
      <c r="I227" s="7" t="s">
        <v>1822</v>
      </c>
      <c r="J227" s="7" t="s">
        <v>1823</v>
      </c>
      <c r="K227" s="21" t="s">
        <v>1824</v>
      </c>
      <c r="L227" s="7" t="s">
        <v>38</v>
      </c>
      <c r="M227" s="7"/>
      <c r="N227" s="55"/>
      <c r="O227" s="74" t="s">
        <v>885</v>
      </c>
      <c r="P227" s="8" t="s">
        <v>1825</v>
      </c>
      <c r="Q227" s="74" t="s">
        <v>1826</v>
      </c>
      <c r="R227" s="74" t="s">
        <v>1827</v>
      </c>
      <c r="S227" s="8" t="s">
        <v>171</v>
      </c>
      <c r="T227" s="8" t="s">
        <v>171</v>
      </c>
      <c r="U227" s="7" t="s">
        <v>172</v>
      </c>
      <c r="V227" s="8" t="s">
        <v>171</v>
      </c>
      <c r="W227" s="7" t="s">
        <v>119</v>
      </c>
      <c r="X227" s="23"/>
      <c r="Y227" s="25"/>
      <c r="Z227" s="7"/>
      <c r="AA227" s="53"/>
      <c r="AB227" s="25"/>
      <c r="AC227" s="53" t="s">
        <v>130</v>
      </c>
      <c r="AD227" s="20">
        <v>46043</v>
      </c>
      <c r="AE227" s="16" t="s">
        <v>621</v>
      </c>
      <c r="AF227" s="19"/>
      <c r="AG227" s="19" t="s">
        <v>132</v>
      </c>
    </row>
    <row r="228" spans="1:33" ht="83.25" customHeight="1">
      <c r="A228" s="18">
        <v>71</v>
      </c>
      <c r="B228" s="18"/>
      <c r="C228" s="62">
        <v>45853.7043865741</v>
      </c>
      <c r="D228" s="23">
        <v>45853.705625000002</v>
      </c>
      <c r="E228" s="83">
        <v>45855</v>
      </c>
      <c r="F228" s="7" t="s">
        <v>957</v>
      </c>
      <c r="G228" s="7" t="s">
        <v>958</v>
      </c>
      <c r="H228" s="7" t="s">
        <v>1828</v>
      </c>
      <c r="I228" s="7" t="s">
        <v>1829</v>
      </c>
      <c r="J228" s="7" t="s">
        <v>1830</v>
      </c>
      <c r="K228" s="21" t="s">
        <v>1831</v>
      </c>
      <c r="L228" s="7" t="s">
        <v>38</v>
      </c>
      <c r="M228" s="7" t="s">
        <v>1832</v>
      </c>
      <c r="N228" s="55"/>
      <c r="O228" s="19">
        <v>725</v>
      </c>
      <c r="P228" s="7" t="s">
        <v>834</v>
      </c>
      <c r="Q228" s="19">
        <v>0</v>
      </c>
      <c r="R228" s="19">
        <v>0</v>
      </c>
      <c r="S228" s="8" t="s">
        <v>1833</v>
      </c>
      <c r="T228" s="19"/>
      <c r="U228" s="7" t="s">
        <v>958</v>
      </c>
      <c r="V228" s="7" t="s">
        <v>966</v>
      </c>
      <c r="W228" s="7" t="s">
        <v>42</v>
      </c>
      <c r="X228" s="23"/>
      <c r="Y228" s="25"/>
      <c r="Z228" s="7"/>
      <c r="AA228" s="53" t="s">
        <v>43</v>
      </c>
      <c r="AB228" s="7"/>
      <c r="AC228" s="53" t="s">
        <v>53</v>
      </c>
      <c r="AD228" s="20">
        <v>45854</v>
      </c>
      <c r="AE228" s="16" t="s">
        <v>621</v>
      </c>
      <c r="AF228" s="19"/>
      <c r="AG228" s="19" t="s">
        <v>46</v>
      </c>
    </row>
    <row r="229" spans="1:33" ht="83.25" customHeight="1">
      <c r="A229" s="22">
        <v>98</v>
      </c>
      <c r="B229" s="18"/>
      <c r="C229" s="60">
        <v>45875.526018518503</v>
      </c>
      <c r="D229" s="17">
        <v>45875.535486111097</v>
      </c>
      <c r="E229" s="17">
        <v>45876</v>
      </c>
      <c r="F229" s="3" t="s">
        <v>374</v>
      </c>
      <c r="G229" s="3" t="s">
        <v>133</v>
      </c>
      <c r="H229" s="3" t="s">
        <v>1834</v>
      </c>
      <c r="I229" s="3" t="s">
        <v>1835</v>
      </c>
      <c r="J229" s="3" t="s">
        <v>1836</v>
      </c>
      <c r="K229" s="21" t="s">
        <v>1837</v>
      </c>
      <c r="L229" s="3" t="s">
        <v>206</v>
      </c>
      <c r="M229" s="3" t="s">
        <v>1838</v>
      </c>
      <c r="N229" s="55"/>
      <c r="O229" s="76" t="s">
        <v>1210</v>
      </c>
      <c r="P229" s="9" t="s">
        <v>1839</v>
      </c>
      <c r="Q229" s="76" t="s">
        <v>1840</v>
      </c>
      <c r="R229" s="76" t="s">
        <v>1841</v>
      </c>
      <c r="S229" s="9" t="s">
        <v>1842</v>
      </c>
      <c r="T229" s="19"/>
      <c r="U229" s="3" t="s">
        <v>629</v>
      </c>
      <c r="V229" s="3" t="s">
        <v>1843</v>
      </c>
      <c r="W229" s="3" t="s">
        <v>119</v>
      </c>
      <c r="Y229" s="32"/>
      <c r="Z229" s="3"/>
      <c r="AA229" s="4" t="s">
        <v>43</v>
      </c>
      <c r="AB229" s="3"/>
      <c r="AC229" s="53" t="s">
        <v>130</v>
      </c>
      <c r="AD229" s="1">
        <v>45876</v>
      </c>
      <c r="AE229" s="24" t="s">
        <v>621</v>
      </c>
      <c r="AF229" s="19"/>
      <c r="AG229" s="19" t="s">
        <v>1161</v>
      </c>
    </row>
    <row r="230" spans="1:33" ht="83.25" customHeight="1">
      <c r="A230" s="18">
        <v>101</v>
      </c>
      <c r="B230" s="18"/>
      <c r="C230" s="62">
        <v>45881.505868055603</v>
      </c>
      <c r="D230" s="23">
        <v>45881.5936111111</v>
      </c>
      <c r="E230" s="23">
        <f>DATE(YEAR(OfficeForms.Table[[#This Row],[Completion time]]), MONTH(OfficeForms.Table[[#This Row],[Completion time]]), DAY(OfficeForms.Table[[#This Row],[Completion time]]))</f>
        <v>45881</v>
      </c>
      <c r="F230" s="7" t="s">
        <v>395</v>
      </c>
      <c r="G230" s="7" t="s">
        <v>396</v>
      </c>
      <c r="H230" s="7" t="s">
        <v>1844</v>
      </c>
      <c r="I230" s="7" t="s">
        <v>1845</v>
      </c>
      <c r="J230" s="25" t="s">
        <v>1846</v>
      </c>
      <c r="K230" s="21" t="s">
        <v>1847</v>
      </c>
      <c r="L230" s="7" t="s">
        <v>38</v>
      </c>
      <c r="M230" s="7" t="s">
        <v>1848</v>
      </c>
      <c r="N230" s="55"/>
      <c r="O230" s="74" t="s">
        <v>1849</v>
      </c>
      <c r="P230" s="8" t="s">
        <v>40</v>
      </c>
      <c r="Q230" s="74" t="s">
        <v>1211</v>
      </c>
      <c r="R230" s="74" t="s">
        <v>846</v>
      </c>
      <c r="S230" s="8" t="s">
        <v>402</v>
      </c>
      <c r="T230" s="19"/>
      <c r="U230" s="7" t="s">
        <v>396</v>
      </c>
      <c r="V230" s="7" t="s">
        <v>151</v>
      </c>
      <c r="W230" s="7" t="s">
        <v>119</v>
      </c>
      <c r="X230" s="23"/>
      <c r="Y230" s="25"/>
      <c r="Z230" s="7"/>
      <c r="AA230" s="53" t="s">
        <v>43</v>
      </c>
      <c r="AB230" s="7"/>
      <c r="AC230" s="53" t="s">
        <v>53</v>
      </c>
      <c r="AD230" s="20">
        <v>45882</v>
      </c>
      <c r="AE230" s="16" t="s">
        <v>621</v>
      </c>
      <c r="AF230" s="19"/>
      <c r="AG230" s="19" t="s">
        <v>71</v>
      </c>
    </row>
    <row r="231" spans="1:33" ht="83.25" customHeight="1">
      <c r="A231" s="18">
        <v>227</v>
      </c>
      <c r="B231" s="18"/>
      <c r="C231" s="62">
        <v>46108.425254629597</v>
      </c>
      <c r="D231" s="23">
        <v>46108.428240740701</v>
      </c>
      <c r="E231" s="20">
        <f>DATE(YEAR(OfficeForms.Table[[#This Row],[Completion time]]), MONTH(OfficeForms.Table[[#This Row],[Completion time]]), DAY(OfficeForms.Table[[#This Row],[Completion time]]))</f>
        <v>46108</v>
      </c>
      <c r="F231" s="25" t="s">
        <v>155</v>
      </c>
      <c r="G231" s="7" t="s">
        <v>121</v>
      </c>
      <c r="H231" s="7" t="s">
        <v>1850</v>
      </c>
      <c r="I231" s="7" t="s">
        <v>1851</v>
      </c>
      <c r="J231" s="7" t="s">
        <v>1852</v>
      </c>
      <c r="K231" s="21" t="s">
        <v>1585</v>
      </c>
      <c r="L231" s="7" t="s">
        <v>206</v>
      </c>
      <c r="M231" s="86" t="s">
        <v>1853</v>
      </c>
      <c r="N231" s="55"/>
      <c r="O231" s="74" t="s">
        <v>328</v>
      </c>
      <c r="P231" s="8" t="s">
        <v>328</v>
      </c>
      <c r="Q231" s="74" t="s">
        <v>328</v>
      </c>
      <c r="R231" s="74" t="s">
        <v>328</v>
      </c>
      <c r="S231" s="8" t="s">
        <v>328</v>
      </c>
      <c r="T231" s="8" t="s">
        <v>1122</v>
      </c>
      <c r="U231" s="7" t="s">
        <v>121</v>
      </c>
      <c r="V231" s="8" t="s">
        <v>96</v>
      </c>
      <c r="W231" s="7" t="s">
        <v>119</v>
      </c>
      <c r="X231" s="23"/>
      <c r="Y231" s="25"/>
      <c r="Z231" s="7"/>
      <c r="AA231" s="53" t="s">
        <v>43</v>
      </c>
      <c r="AB231" s="25"/>
      <c r="AC231" s="53" t="s">
        <v>130</v>
      </c>
      <c r="AD231" s="20">
        <v>46129</v>
      </c>
      <c r="AE231" s="16" t="s">
        <v>45</v>
      </c>
      <c r="AF231" s="19"/>
      <c r="AG231" s="19" t="s">
        <v>132</v>
      </c>
    </row>
    <row r="232" spans="1:33" ht="83.25" customHeight="1">
      <c r="A232" s="18">
        <v>228</v>
      </c>
      <c r="B232" s="18"/>
      <c r="C232" s="62">
        <v>46108.590057870402</v>
      </c>
      <c r="D232" s="23">
        <v>46108.595486111102</v>
      </c>
      <c r="E232" s="20">
        <v>46111</v>
      </c>
      <c r="F232" s="25" t="s">
        <v>395</v>
      </c>
      <c r="G232" s="7" t="s">
        <v>396</v>
      </c>
      <c r="H232" s="7" t="s">
        <v>1854</v>
      </c>
      <c r="I232" s="7" t="s">
        <v>1855</v>
      </c>
      <c r="J232" s="7" t="s">
        <v>1856</v>
      </c>
      <c r="K232" s="21" t="s">
        <v>1857</v>
      </c>
      <c r="L232" s="7" t="s">
        <v>38</v>
      </c>
      <c r="M232" s="86" t="s">
        <v>1858</v>
      </c>
      <c r="N232" s="55" t="s">
        <v>1859</v>
      </c>
      <c r="O232" s="74" t="s">
        <v>1849</v>
      </c>
      <c r="P232" s="8" t="s">
        <v>1860</v>
      </c>
      <c r="Q232" s="74" t="s">
        <v>782</v>
      </c>
      <c r="R232" s="74" t="s">
        <v>1861</v>
      </c>
      <c r="S232" s="8" t="s">
        <v>402</v>
      </c>
      <c r="T232" s="8" t="s">
        <v>432</v>
      </c>
      <c r="U232" s="7" t="s">
        <v>1862</v>
      </c>
      <c r="V232" s="8" t="s">
        <v>646</v>
      </c>
      <c r="W232" s="7" t="s">
        <v>42</v>
      </c>
      <c r="X232" s="23"/>
      <c r="Y232" s="25"/>
      <c r="Z232" s="7"/>
      <c r="AA232" s="53" t="s">
        <v>43</v>
      </c>
      <c r="AB232" s="25"/>
      <c r="AC232" s="53" t="s">
        <v>53</v>
      </c>
      <c r="AD232" s="20">
        <v>46084</v>
      </c>
      <c r="AE232" s="16" t="s">
        <v>45</v>
      </c>
      <c r="AF232" s="19" t="s">
        <v>1863</v>
      </c>
      <c r="AG232" s="19" t="s">
        <v>46</v>
      </c>
    </row>
    <row r="233" spans="1:33" ht="83.25" customHeight="1">
      <c r="A233" s="22">
        <v>229</v>
      </c>
      <c r="B233" s="18"/>
      <c r="C233" s="60">
        <v>46112.435034722199</v>
      </c>
      <c r="D233" s="17">
        <v>46112.445601851898</v>
      </c>
      <c r="E233" s="1">
        <f>DATE(YEAR(OfficeForms.Table[[#This Row],[Completion time]]), MONTH(OfficeForms.Table[[#This Row],[Completion time]]), DAY(OfficeForms.Table[[#This Row],[Completion time]]))</f>
        <v>46112</v>
      </c>
      <c r="F233" s="32" t="s">
        <v>261</v>
      </c>
      <c r="G233" s="3" t="s">
        <v>262</v>
      </c>
      <c r="H233" s="3"/>
      <c r="I233" s="3" t="s">
        <v>1864</v>
      </c>
      <c r="J233" s="3" t="s">
        <v>1865</v>
      </c>
      <c r="K233" s="21" t="s">
        <v>1866</v>
      </c>
      <c r="L233" s="3" t="s">
        <v>38</v>
      </c>
      <c r="M233" s="88"/>
      <c r="N233" s="55"/>
      <c r="O233" s="76" t="s">
        <v>1173</v>
      </c>
      <c r="P233" s="9" t="s">
        <v>80</v>
      </c>
      <c r="Q233" s="76" t="s">
        <v>80</v>
      </c>
      <c r="R233" s="76" t="s">
        <v>80</v>
      </c>
      <c r="S233" s="9" t="s">
        <v>965</v>
      </c>
      <c r="T233" s="8" t="s">
        <v>42</v>
      </c>
      <c r="U233" s="3" t="s">
        <v>112</v>
      </c>
      <c r="V233" s="9" t="s">
        <v>1867</v>
      </c>
      <c r="W233" s="3" t="s">
        <v>42</v>
      </c>
      <c r="Y233" s="32"/>
      <c r="Z233" s="3"/>
      <c r="AA233" s="4"/>
      <c r="AB233" s="32"/>
      <c r="AC233" s="53"/>
      <c r="AD233" s="1"/>
      <c r="AE233" s="24" t="s">
        <v>621</v>
      </c>
      <c r="AF233" s="19"/>
      <c r="AG233" s="19"/>
    </row>
    <row r="234" spans="1:33" ht="83.25" customHeight="1">
      <c r="A234" s="18">
        <v>230</v>
      </c>
      <c r="B234" s="18"/>
      <c r="C234" s="62">
        <v>46112.451516203699</v>
      </c>
      <c r="D234" s="23">
        <v>46112.461180555598</v>
      </c>
      <c r="E234" s="20">
        <f>DATE(YEAR(OfficeForms.Table[[#This Row],[Completion time]]), MONTH(OfficeForms.Table[[#This Row],[Completion time]]), DAY(OfficeForms.Table[[#This Row],[Completion time]]))</f>
        <v>46112</v>
      </c>
      <c r="F234" s="25" t="s">
        <v>1616</v>
      </c>
      <c r="G234" s="7" t="s">
        <v>1617</v>
      </c>
      <c r="H234" s="7" t="s">
        <v>1868</v>
      </c>
      <c r="I234" s="7" t="s">
        <v>1869</v>
      </c>
      <c r="J234" s="7" t="s">
        <v>1870</v>
      </c>
      <c r="K234" s="21" t="s">
        <v>1621</v>
      </c>
      <c r="L234" s="7"/>
      <c r="M234" s="86" t="s">
        <v>1871</v>
      </c>
      <c r="N234" s="55"/>
      <c r="O234" s="74" t="s">
        <v>1872</v>
      </c>
      <c r="P234" s="8" t="s">
        <v>40</v>
      </c>
      <c r="Q234" s="74" t="s">
        <v>1873</v>
      </c>
      <c r="R234" s="74" t="s">
        <v>1874</v>
      </c>
      <c r="S234" s="8" t="s">
        <v>1875</v>
      </c>
      <c r="T234" s="8" t="s">
        <v>1876</v>
      </c>
      <c r="U234" s="7" t="s">
        <v>1877</v>
      </c>
      <c r="V234" s="8" t="s">
        <v>1878</v>
      </c>
      <c r="W234" s="7" t="s">
        <v>119</v>
      </c>
      <c r="X234" s="23"/>
      <c r="Y234" s="25"/>
      <c r="Z234" s="7"/>
      <c r="AA234" s="53"/>
      <c r="AB234" s="25"/>
      <c r="AC234" s="53" t="s">
        <v>416</v>
      </c>
      <c r="AD234" s="20"/>
      <c r="AE234" s="16" t="s">
        <v>1879</v>
      </c>
      <c r="AF234" s="19"/>
      <c r="AG234" s="19"/>
    </row>
    <row r="235" spans="1:33" ht="83.25" customHeight="1">
      <c r="A235" s="18">
        <v>231</v>
      </c>
      <c r="B235" s="18"/>
      <c r="C235" s="62">
        <v>46113.544479166703</v>
      </c>
      <c r="D235" s="23">
        <v>46113.546909722201</v>
      </c>
      <c r="E235" s="20">
        <f>DATE(YEAR(OfficeForms.Table[[#This Row],[Completion time]]), MONTH(OfficeForms.Table[[#This Row],[Completion time]]), DAY(OfficeForms.Table[[#This Row],[Completion time]]))</f>
        <v>46113</v>
      </c>
      <c r="F235" s="25" t="s">
        <v>1342</v>
      </c>
      <c r="G235" s="7" t="s">
        <v>703</v>
      </c>
      <c r="H235" s="7"/>
      <c r="I235" s="7" t="s">
        <v>1880</v>
      </c>
      <c r="J235" s="7" t="s">
        <v>1881</v>
      </c>
      <c r="K235" s="21" t="s">
        <v>1882</v>
      </c>
      <c r="L235" s="7" t="s">
        <v>60</v>
      </c>
      <c r="M235" s="86" t="s">
        <v>1883</v>
      </c>
      <c r="N235" s="55"/>
      <c r="O235" s="74" t="s">
        <v>737</v>
      </c>
      <c r="P235" s="8" t="s">
        <v>40</v>
      </c>
      <c r="Q235" s="74" t="s">
        <v>1818</v>
      </c>
      <c r="R235" s="74" t="s">
        <v>96</v>
      </c>
      <c r="S235" s="8" t="s">
        <v>1884</v>
      </c>
      <c r="T235" s="8" t="s">
        <v>96</v>
      </c>
      <c r="U235" s="7" t="s">
        <v>703</v>
      </c>
      <c r="V235" s="8" t="s">
        <v>1885</v>
      </c>
      <c r="W235" s="7" t="s">
        <v>152</v>
      </c>
      <c r="X235" s="23">
        <v>46128</v>
      </c>
      <c r="Y235" s="25"/>
      <c r="Z235" s="7"/>
      <c r="AA235" s="53"/>
      <c r="AB235" s="25"/>
      <c r="AC235" s="53"/>
      <c r="AD235" s="20"/>
      <c r="AE235" s="16" t="s">
        <v>621</v>
      </c>
      <c r="AF235" s="19"/>
      <c r="AG235" s="19"/>
    </row>
    <row r="236" spans="1:33" ht="83.25" customHeight="1">
      <c r="A236" s="18">
        <v>232</v>
      </c>
      <c r="B236" s="18"/>
      <c r="C236" s="62">
        <v>46118.482939814799</v>
      </c>
      <c r="D236" s="23">
        <v>46118.489155092597</v>
      </c>
      <c r="E236" s="20">
        <f>DATE(YEAR(OfficeForms.Table[[#This Row],[Completion time]]), MONTH(OfficeForms.Table[[#This Row],[Completion time]]), DAY(OfficeForms.Table[[#This Row],[Completion time]]))</f>
        <v>46118</v>
      </c>
      <c r="F236" s="25" t="s">
        <v>230</v>
      </c>
      <c r="G236" s="7" t="s">
        <v>231</v>
      </c>
      <c r="H236" s="7"/>
      <c r="I236" s="7" t="s">
        <v>1886</v>
      </c>
      <c r="J236" s="7" t="s">
        <v>1887</v>
      </c>
      <c r="K236" s="21" t="s">
        <v>1682</v>
      </c>
      <c r="L236" s="7"/>
      <c r="M236" s="86"/>
      <c r="N236" s="55"/>
      <c r="O236" s="74" t="s">
        <v>737</v>
      </c>
      <c r="P236" s="8" t="s">
        <v>40</v>
      </c>
      <c r="Q236" s="74" t="s">
        <v>1888</v>
      </c>
      <c r="R236" s="74" t="s">
        <v>1889</v>
      </c>
      <c r="S236" s="8" t="s">
        <v>1890</v>
      </c>
      <c r="T236" s="8" t="s">
        <v>96</v>
      </c>
      <c r="U236" s="7" t="s">
        <v>1891</v>
      </c>
      <c r="V236" s="8" t="s">
        <v>1892</v>
      </c>
      <c r="W236" s="7" t="s">
        <v>119</v>
      </c>
      <c r="X236" s="23"/>
      <c r="Y236" s="25"/>
      <c r="Z236" s="7"/>
      <c r="AA236" s="53"/>
      <c r="AB236" s="25"/>
      <c r="AC236" s="53"/>
      <c r="AD236" s="20"/>
      <c r="AE236" s="16" t="s">
        <v>621</v>
      </c>
      <c r="AF236" s="19"/>
      <c r="AG236" s="19"/>
    </row>
    <row r="237" spans="1:33" ht="83.25" customHeight="1">
      <c r="A237" s="18">
        <v>233</v>
      </c>
      <c r="B237" s="18"/>
      <c r="C237" s="62">
        <v>46118.700011574103</v>
      </c>
      <c r="D237" s="23">
        <v>46118.705682870401</v>
      </c>
      <c r="E237" s="20">
        <f>DATE(YEAR(OfficeForms.Table[[#This Row],[Completion time]]), MONTH(OfficeForms.Table[[#This Row],[Completion time]]), DAY(OfficeForms.Table[[#This Row],[Completion time]]))</f>
        <v>46118</v>
      </c>
      <c r="F237" s="25" t="s">
        <v>1342</v>
      </c>
      <c r="G237" s="7" t="s">
        <v>703</v>
      </c>
      <c r="H237" s="7"/>
      <c r="I237" s="7" t="s">
        <v>1893</v>
      </c>
      <c r="J237" s="7" t="s">
        <v>1894</v>
      </c>
      <c r="K237" s="21" t="s">
        <v>1882</v>
      </c>
      <c r="L237" s="7" t="s">
        <v>38</v>
      </c>
      <c r="M237" s="86"/>
      <c r="N237" s="55"/>
      <c r="O237" s="74" t="s">
        <v>737</v>
      </c>
      <c r="P237" s="8" t="s">
        <v>40</v>
      </c>
      <c r="Q237" s="74" t="s">
        <v>1895</v>
      </c>
      <c r="R237" s="74" t="s">
        <v>96</v>
      </c>
      <c r="S237" s="8" t="s">
        <v>1893</v>
      </c>
      <c r="T237" s="8" t="s">
        <v>96</v>
      </c>
      <c r="U237" s="7" t="s">
        <v>703</v>
      </c>
      <c r="V237" s="8" t="s">
        <v>1896</v>
      </c>
      <c r="W237" s="7" t="s">
        <v>152</v>
      </c>
      <c r="X237" s="23">
        <v>46121</v>
      </c>
      <c r="Y237" s="25"/>
      <c r="Z237" s="7"/>
      <c r="AA237" s="53"/>
      <c r="AB237" s="25"/>
      <c r="AC237" s="53"/>
      <c r="AD237" s="20"/>
      <c r="AE237" s="16" t="s">
        <v>621</v>
      </c>
      <c r="AF237" s="19"/>
      <c r="AG237" s="19"/>
    </row>
    <row r="238" spans="1:33" ht="83.25" customHeight="1">
      <c r="A238" s="18">
        <v>234</v>
      </c>
      <c r="B238" s="18"/>
      <c r="C238" s="62">
        <v>46119.749351851897</v>
      </c>
      <c r="D238" s="23">
        <v>46119.7554282407</v>
      </c>
      <c r="E238" s="20">
        <f>DATE(YEAR(OfficeForms.Table[[#This Row],[Completion time]]), MONTH(OfficeForms.Table[[#This Row],[Completion time]]), DAY(OfficeForms.Table[[#This Row],[Completion time]]))</f>
        <v>46119</v>
      </c>
      <c r="F238" s="25" t="s">
        <v>1034</v>
      </c>
      <c r="G238" s="7" t="s">
        <v>1035</v>
      </c>
      <c r="H238" s="7"/>
      <c r="I238" s="7" t="s">
        <v>1897</v>
      </c>
      <c r="J238" s="7" t="s">
        <v>1898</v>
      </c>
      <c r="K238" s="21" t="s">
        <v>1899</v>
      </c>
      <c r="L238" s="7"/>
      <c r="M238" s="86"/>
      <c r="N238" s="55"/>
      <c r="O238" s="74" t="s">
        <v>801</v>
      </c>
      <c r="P238" s="8" t="s">
        <v>40</v>
      </c>
      <c r="Q238" s="74" t="s">
        <v>1900</v>
      </c>
      <c r="R238" s="74" t="s">
        <v>1901</v>
      </c>
      <c r="S238" s="8" t="s">
        <v>1902</v>
      </c>
      <c r="T238" s="8" t="s">
        <v>96</v>
      </c>
      <c r="U238" s="7" t="s">
        <v>1903</v>
      </c>
      <c r="V238" s="8" t="s">
        <v>1898</v>
      </c>
      <c r="W238" s="7" t="s">
        <v>119</v>
      </c>
      <c r="X238" s="23"/>
      <c r="Y238" s="25"/>
      <c r="Z238" s="7"/>
      <c r="AA238" s="53"/>
      <c r="AB238" s="25"/>
      <c r="AC238" s="53"/>
      <c r="AD238" s="20"/>
      <c r="AE238" s="16" t="s">
        <v>621</v>
      </c>
      <c r="AF238" s="19"/>
      <c r="AG238" s="19"/>
    </row>
    <row r="239" spans="1:33" ht="83.25" customHeight="1">
      <c r="A239" s="18">
        <v>235</v>
      </c>
      <c r="B239" s="18"/>
      <c r="C239" s="62">
        <v>46125.587847222203</v>
      </c>
      <c r="D239" s="23">
        <v>46125.597060185202</v>
      </c>
      <c r="E239" s="20">
        <f>DATE(YEAR(OfficeForms.Table[[#This Row],[Completion time]]), MONTH(OfficeForms.Table[[#This Row],[Completion time]]), DAY(OfficeForms.Table[[#This Row],[Completion time]]))</f>
        <v>46125</v>
      </c>
      <c r="F239" s="25" t="s">
        <v>1634</v>
      </c>
      <c r="G239" s="7" t="s">
        <v>1635</v>
      </c>
      <c r="H239" s="7"/>
      <c r="I239" s="7" t="s">
        <v>1904</v>
      </c>
      <c r="J239" s="7" t="s">
        <v>1905</v>
      </c>
      <c r="K239" s="21" t="s">
        <v>1906</v>
      </c>
      <c r="L239" s="7" t="s">
        <v>206</v>
      </c>
      <c r="M239" s="86"/>
      <c r="N239" s="55"/>
      <c r="O239" s="74" t="s">
        <v>1498</v>
      </c>
      <c r="P239" s="8" t="s">
        <v>432</v>
      </c>
      <c r="Q239" s="74" t="s">
        <v>1907</v>
      </c>
      <c r="R239" s="74" t="s">
        <v>432</v>
      </c>
      <c r="S239" s="8" t="s">
        <v>1908</v>
      </c>
      <c r="T239" s="8" t="s">
        <v>432</v>
      </c>
      <c r="U239" s="7" t="s">
        <v>1635</v>
      </c>
      <c r="V239" s="8" t="s">
        <v>1909</v>
      </c>
      <c r="W239" s="7" t="s">
        <v>152</v>
      </c>
      <c r="X239" s="23">
        <v>46204</v>
      </c>
      <c r="Y239" s="25"/>
      <c r="Z239" s="7"/>
      <c r="AA239" s="53"/>
      <c r="AB239" s="25"/>
      <c r="AC239" s="53"/>
      <c r="AD239" s="20"/>
      <c r="AE239" s="16" t="s">
        <v>621</v>
      </c>
      <c r="AF239" s="19"/>
      <c r="AG239" s="19"/>
    </row>
    <row r="240" spans="1:33" ht="83.25" customHeight="1">
      <c r="A240" s="18">
        <v>236</v>
      </c>
      <c r="B240" s="18"/>
      <c r="C240" s="62">
        <v>46126.391608796301</v>
      </c>
      <c r="D240" s="23">
        <v>46126.4003703704</v>
      </c>
      <c r="E240" s="20">
        <f>DATE(YEAR(OfficeForms.Table[[#This Row],[Completion time]]), MONTH(OfficeForms.Table[[#This Row],[Completion time]]), DAY(OfficeForms.Table[[#This Row],[Completion time]]))</f>
        <v>46126</v>
      </c>
      <c r="F240" s="25" t="s">
        <v>559</v>
      </c>
      <c r="G240" s="7" t="s">
        <v>560</v>
      </c>
      <c r="H240" s="7" t="s">
        <v>1910</v>
      </c>
      <c r="I240" s="7" t="s">
        <v>1911</v>
      </c>
      <c r="J240" s="7" t="s">
        <v>1911</v>
      </c>
      <c r="K240" s="21" t="s">
        <v>1645</v>
      </c>
      <c r="L240" s="7" t="s">
        <v>38</v>
      </c>
      <c r="M240" s="86" t="s">
        <v>1912</v>
      </c>
      <c r="N240" s="55" t="s">
        <v>1913</v>
      </c>
      <c r="O240" s="74" t="s">
        <v>1914</v>
      </c>
      <c r="P240" s="8" t="s">
        <v>40</v>
      </c>
      <c r="Q240" s="74" t="s">
        <v>1915</v>
      </c>
      <c r="R240" s="74" t="s">
        <v>1916</v>
      </c>
      <c r="S240" s="8" t="s">
        <v>1917</v>
      </c>
      <c r="T240" s="8" t="s">
        <v>1492</v>
      </c>
      <c r="U240" s="7" t="s">
        <v>560</v>
      </c>
      <c r="V240" s="8" t="s">
        <v>1918</v>
      </c>
      <c r="W240" s="7" t="s">
        <v>119</v>
      </c>
      <c r="X240" s="23"/>
      <c r="Y240" s="25"/>
      <c r="Z240" s="7"/>
      <c r="AA240" s="53"/>
      <c r="AB240" s="25"/>
      <c r="AC240" s="53"/>
      <c r="AD240" s="20"/>
      <c r="AE240" s="16" t="s">
        <v>229</v>
      </c>
      <c r="AF240" s="19"/>
      <c r="AG240" s="19"/>
    </row>
    <row r="241" spans="1:33" ht="83.25" customHeight="1">
      <c r="A241" s="18">
        <v>237</v>
      </c>
      <c r="B241" s="18"/>
      <c r="C241" s="62">
        <v>46126.401990740698</v>
      </c>
      <c r="D241" s="23">
        <v>46126.410925925898</v>
      </c>
      <c r="E241" s="20">
        <f>DATE(YEAR(OfficeForms.Table[[#This Row],[Completion time]]), MONTH(OfficeForms.Table[[#This Row],[Completion time]]), DAY(OfficeForms.Table[[#This Row],[Completion time]]))</f>
        <v>46126</v>
      </c>
      <c r="F241" s="25" t="s">
        <v>559</v>
      </c>
      <c r="G241" s="7" t="s">
        <v>560</v>
      </c>
      <c r="H241" s="7"/>
      <c r="I241" s="7" t="s">
        <v>1919</v>
      </c>
      <c r="J241" s="7" t="s">
        <v>1919</v>
      </c>
      <c r="K241" s="21" t="s">
        <v>1920</v>
      </c>
      <c r="L241" s="7" t="s">
        <v>206</v>
      </c>
      <c r="M241" s="86"/>
      <c r="N241" s="55" t="s">
        <v>1921</v>
      </c>
      <c r="O241" s="74" t="s">
        <v>1425</v>
      </c>
      <c r="P241" s="8" t="s">
        <v>40</v>
      </c>
      <c r="Q241" s="74" t="s">
        <v>1922</v>
      </c>
      <c r="R241" s="74" t="s">
        <v>1923</v>
      </c>
      <c r="S241" s="8" t="s">
        <v>1924</v>
      </c>
      <c r="T241" s="8" t="s">
        <v>1492</v>
      </c>
      <c r="U241" s="7" t="s">
        <v>560</v>
      </c>
      <c r="V241" s="8" t="s">
        <v>1925</v>
      </c>
      <c r="W241" s="7" t="s">
        <v>119</v>
      </c>
      <c r="X241" s="23"/>
      <c r="Y241" s="25"/>
      <c r="Z241" s="7"/>
      <c r="AA241" s="53"/>
      <c r="AB241" s="25"/>
      <c r="AC241" s="53" t="s">
        <v>416</v>
      </c>
      <c r="AD241" s="20"/>
      <c r="AE241" s="16" t="s">
        <v>1879</v>
      </c>
      <c r="AF241" s="19"/>
      <c r="AG241" s="19"/>
    </row>
    <row r="242" spans="1:33" ht="83.25" customHeight="1">
      <c r="A242" s="18">
        <v>238</v>
      </c>
      <c r="B242" s="18"/>
      <c r="C242" s="62">
        <v>46128.6535532407</v>
      </c>
      <c r="D242" s="23">
        <v>46128.660868055602</v>
      </c>
      <c r="E242" s="20">
        <f>DATE(YEAR(OfficeForms.Table[[#This Row],[Completion time]]), MONTH(OfficeForms.Table[[#This Row],[Completion time]]), DAY(OfficeForms.Table[[#This Row],[Completion time]]))</f>
        <v>46128</v>
      </c>
      <c r="F242" s="25" t="s">
        <v>1271</v>
      </c>
      <c r="G242" s="7" t="s">
        <v>550</v>
      </c>
      <c r="H242" s="7" t="s">
        <v>1926</v>
      </c>
      <c r="I242" s="7" t="s">
        <v>1927</v>
      </c>
      <c r="J242" s="7" t="s">
        <v>1928</v>
      </c>
      <c r="K242" s="21" t="s">
        <v>1929</v>
      </c>
      <c r="L242" s="7" t="s">
        <v>346</v>
      </c>
      <c r="M242" s="86" t="s">
        <v>1930</v>
      </c>
      <c r="N242" s="55"/>
      <c r="O242" s="74" t="s">
        <v>930</v>
      </c>
      <c r="P242" s="8" t="s">
        <v>40</v>
      </c>
      <c r="Q242" s="74" t="s">
        <v>1931</v>
      </c>
      <c r="R242" s="74" t="s">
        <v>1932</v>
      </c>
      <c r="S242" s="8" t="s">
        <v>1933</v>
      </c>
      <c r="T242" s="8" t="s">
        <v>96</v>
      </c>
      <c r="U242" s="7" t="s">
        <v>1934</v>
      </c>
      <c r="V242" s="8" t="s">
        <v>1935</v>
      </c>
      <c r="W242" s="7" t="s">
        <v>152</v>
      </c>
      <c r="X242" s="23">
        <v>46213</v>
      </c>
      <c r="Y242" s="25"/>
      <c r="Z242" s="7"/>
      <c r="AA242" s="53"/>
      <c r="AB242" s="25"/>
      <c r="AC242" s="53" t="s">
        <v>44</v>
      </c>
      <c r="AD242" s="20"/>
      <c r="AE242" s="16" t="s">
        <v>45</v>
      </c>
      <c r="AF242" s="19"/>
      <c r="AG242" s="19"/>
    </row>
    <row r="243" spans="1:33" ht="83.25" customHeight="1">
      <c r="A243" s="18">
        <v>239</v>
      </c>
      <c r="B243" s="18"/>
      <c r="C243" s="62">
        <v>46135.605578703697</v>
      </c>
      <c r="D243" s="23">
        <v>46135.608483796299</v>
      </c>
      <c r="E243" s="20">
        <f>DATE(YEAR(OfficeForms.Table[[#This Row],[Completion time]]), MONTH(OfficeForms.Table[[#This Row],[Completion time]]), DAY(OfficeForms.Table[[#This Row],[Completion time]]))</f>
        <v>46135</v>
      </c>
      <c r="F243" s="25" t="s">
        <v>559</v>
      </c>
      <c r="G243" s="7" t="s">
        <v>560</v>
      </c>
      <c r="H243" s="7" t="s">
        <v>1936</v>
      </c>
      <c r="I243" s="7" t="s">
        <v>1937</v>
      </c>
      <c r="J243" s="7" t="s">
        <v>1937</v>
      </c>
      <c r="K243" s="21" t="s">
        <v>1039</v>
      </c>
      <c r="L243" s="7" t="s">
        <v>38</v>
      </c>
      <c r="M243" s="86" t="s">
        <v>1938</v>
      </c>
      <c r="N243" s="55"/>
      <c r="O243" s="74" t="s">
        <v>1939</v>
      </c>
      <c r="P243" s="8" t="s">
        <v>40</v>
      </c>
      <c r="Q243" s="74" t="s">
        <v>1940</v>
      </c>
      <c r="R243" s="74" t="s">
        <v>1211</v>
      </c>
      <c r="S243" s="8" t="s">
        <v>1941</v>
      </c>
      <c r="T243" s="8" t="s">
        <v>42</v>
      </c>
      <c r="U243" s="7" t="s">
        <v>560</v>
      </c>
      <c r="V243" s="8" t="s">
        <v>646</v>
      </c>
      <c r="W243" s="7" t="s">
        <v>119</v>
      </c>
      <c r="X243" s="23">
        <v>46141</v>
      </c>
      <c r="Y243" s="25"/>
      <c r="Z243" s="7"/>
      <c r="AA243" s="53"/>
      <c r="AB243" s="25" t="s">
        <v>1942</v>
      </c>
      <c r="AC243" s="53" t="s">
        <v>416</v>
      </c>
      <c r="AD243" s="20">
        <v>46141</v>
      </c>
      <c r="AE243" s="16" t="s">
        <v>1879</v>
      </c>
      <c r="AF243" s="19"/>
      <c r="AG243" s="19" t="s">
        <v>646</v>
      </c>
    </row>
    <row r="244" spans="1:33" ht="83.25" customHeight="1">
      <c r="A244" s="18">
        <v>240</v>
      </c>
      <c r="B244" s="18"/>
      <c r="C244" s="62">
        <v>46136.944722222201</v>
      </c>
      <c r="D244" s="23">
        <v>46136.997164351902</v>
      </c>
      <c r="E244" s="20">
        <f>DATE(YEAR(OfficeForms.Table[[#This Row],[Completion time]]), MONTH(OfficeForms.Table[[#This Row],[Completion time]]), DAY(OfficeForms.Table[[#This Row],[Completion time]]))</f>
        <v>46136</v>
      </c>
      <c r="F244" s="25" t="s">
        <v>1067</v>
      </c>
      <c r="G244" s="7" t="s">
        <v>1068</v>
      </c>
      <c r="H244" s="7" t="s">
        <v>1943</v>
      </c>
      <c r="I244" s="7" t="s">
        <v>1944</v>
      </c>
      <c r="J244" s="7" t="s">
        <v>1945</v>
      </c>
      <c r="K244" s="21" t="s">
        <v>1946</v>
      </c>
      <c r="L244" s="7" t="s">
        <v>38</v>
      </c>
      <c r="M244" s="86"/>
      <c r="N244" s="55"/>
      <c r="O244" s="74" t="s">
        <v>1947</v>
      </c>
      <c r="P244" s="8" t="s">
        <v>499</v>
      </c>
      <c r="Q244" s="74" t="s">
        <v>1948</v>
      </c>
      <c r="R244" s="74" t="s">
        <v>80</v>
      </c>
      <c r="S244" s="8" t="s">
        <v>1949</v>
      </c>
      <c r="T244" s="8" t="s">
        <v>96</v>
      </c>
      <c r="U244" s="7" t="s">
        <v>1950</v>
      </c>
      <c r="V244" s="8" t="s">
        <v>1951</v>
      </c>
      <c r="W244" s="7" t="s">
        <v>119</v>
      </c>
      <c r="X244" s="23">
        <v>46140</v>
      </c>
      <c r="Y244" s="25"/>
      <c r="Z244" s="7"/>
      <c r="AA244" s="53"/>
      <c r="AB244" s="25"/>
      <c r="AC244" s="53" t="s">
        <v>130</v>
      </c>
      <c r="AD244" s="20">
        <v>46139</v>
      </c>
      <c r="AE244" s="16" t="s">
        <v>621</v>
      </c>
      <c r="AF244" s="19"/>
      <c r="AG244" s="19"/>
    </row>
    <row r="245" spans="1:33" ht="83.25" customHeight="1">
      <c r="A245" s="18">
        <v>241</v>
      </c>
      <c r="B245" s="18"/>
      <c r="C245" s="62">
        <v>46139.5992708333</v>
      </c>
      <c r="D245" s="23">
        <v>46139.674652777801</v>
      </c>
      <c r="E245" s="20">
        <f>DATE(YEAR(OfficeForms.Table[[#This Row],[Completion time]]), MONTH(OfficeForms.Table[[#This Row],[Completion time]]), DAY(OfficeForms.Table[[#This Row],[Completion time]]))</f>
        <v>46139</v>
      </c>
      <c r="F245" s="25" t="s">
        <v>111</v>
      </c>
      <c r="G245" s="7" t="s">
        <v>112</v>
      </c>
      <c r="H245" s="7" t="s">
        <v>1952</v>
      </c>
      <c r="I245" s="7" t="s">
        <v>1953</v>
      </c>
      <c r="J245" s="7" t="s">
        <v>1954</v>
      </c>
      <c r="K245" s="21" t="s">
        <v>1955</v>
      </c>
      <c r="L245" s="7" t="s">
        <v>38</v>
      </c>
      <c r="M245" s="86"/>
      <c r="N245" s="55"/>
      <c r="O245" s="74" t="s">
        <v>1173</v>
      </c>
      <c r="P245" s="8" t="s">
        <v>40</v>
      </c>
      <c r="Q245" s="74" t="s">
        <v>432</v>
      </c>
      <c r="R245" s="74" t="s">
        <v>432</v>
      </c>
      <c r="S245" s="8" t="s">
        <v>1956</v>
      </c>
      <c r="T245" s="8" t="s">
        <v>432</v>
      </c>
      <c r="U245" s="7" t="s">
        <v>112</v>
      </c>
      <c r="V245" s="8" t="s">
        <v>646</v>
      </c>
      <c r="W245" s="7" t="s">
        <v>42</v>
      </c>
      <c r="X245" s="23"/>
      <c r="Y245" s="25"/>
      <c r="Z245" s="7"/>
      <c r="AA245" s="53"/>
      <c r="AB245" s="25"/>
      <c r="AC245" s="53" t="s">
        <v>53</v>
      </c>
      <c r="AD245" s="20">
        <v>46140</v>
      </c>
      <c r="AE245" s="16" t="s">
        <v>621</v>
      </c>
      <c r="AF245" s="19"/>
      <c r="AG245" s="19"/>
    </row>
    <row r="246" spans="1:33" ht="83.25" customHeight="1">
      <c r="A246" s="18">
        <v>242</v>
      </c>
      <c r="B246" s="18"/>
      <c r="C246" s="62">
        <v>46141.3844791667</v>
      </c>
      <c r="D246" s="23">
        <v>46141.397708333301</v>
      </c>
      <c r="E246" s="20">
        <f>DATE(YEAR(OfficeForms.Table[[#This Row],[Completion time]]), MONTH(OfficeForms.Table[[#This Row],[Completion time]]), DAY(OfficeForms.Table[[#This Row],[Completion time]]))</f>
        <v>46141</v>
      </c>
      <c r="F246" s="25" t="s">
        <v>1957</v>
      </c>
      <c r="G246" s="7" t="s">
        <v>1958</v>
      </c>
      <c r="H246" s="7"/>
      <c r="I246" s="7" t="s">
        <v>1959</v>
      </c>
      <c r="J246" s="7" t="s">
        <v>1960</v>
      </c>
      <c r="K246" s="21" t="s">
        <v>972</v>
      </c>
      <c r="L246" s="7" t="s">
        <v>346</v>
      </c>
      <c r="M246" s="86"/>
      <c r="N246" s="55" t="s">
        <v>1961</v>
      </c>
      <c r="O246" s="74" t="s">
        <v>1962</v>
      </c>
      <c r="P246" s="8" t="s">
        <v>893</v>
      </c>
      <c r="Q246" s="74" t="s">
        <v>1963</v>
      </c>
      <c r="R246" s="74" t="s">
        <v>1963</v>
      </c>
      <c r="S246" s="8" t="s">
        <v>1964</v>
      </c>
      <c r="T246" s="8" t="s">
        <v>96</v>
      </c>
      <c r="U246" s="7" t="s">
        <v>1958</v>
      </c>
      <c r="V246" s="8" t="s">
        <v>1965</v>
      </c>
      <c r="W246" s="7" t="s">
        <v>152</v>
      </c>
      <c r="X246" s="23">
        <v>46146</v>
      </c>
      <c r="Y246" s="25"/>
      <c r="Z246" s="7"/>
      <c r="AA246" s="53"/>
      <c r="AB246" s="25"/>
      <c r="AC246" s="53" t="s">
        <v>153</v>
      </c>
      <c r="AD246" s="20"/>
      <c r="AE246" s="16" t="s">
        <v>1879</v>
      </c>
      <c r="AF246" s="19"/>
      <c r="AG246" s="19"/>
    </row>
    <row r="247" spans="1:33" ht="83.25" customHeight="1">
      <c r="A247" s="18">
        <v>243</v>
      </c>
      <c r="B247" s="18"/>
      <c r="C247" s="62">
        <v>46141.638622685197</v>
      </c>
      <c r="D247" s="23">
        <v>46141.6398611111</v>
      </c>
      <c r="E247" s="20">
        <f>DATE(YEAR(OfficeForms.Table[[#This Row],[Completion time]]), MONTH(OfficeForms.Table[[#This Row],[Completion time]]), DAY(OfficeForms.Table[[#This Row],[Completion time]]))</f>
        <v>46141</v>
      </c>
      <c r="F247" s="25" t="s">
        <v>272</v>
      </c>
      <c r="G247" s="7" t="s">
        <v>273</v>
      </c>
      <c r="H247" s="7"/>
      <c r="I247" s="7" t="s">
        <v>1966</v>
      </c>
      <c r="J247" s="7" t="s">
        <v>1967</v>
      </c>
      <c r="K247" s="21" t="s">
        <v>1968</v>
      </c>
      <c r="L247" s="7"/>
      <c r="M247" s="86"/>
      <c r="N247" s="55"/>
      <c r="O247" s="74" t="s">
        <v>1969</v>
      </c>
      <c r="P247" s="8" t="s">
        <v>1970</v>
      </c>
      <c r="Q247" s="74" t="s">
        <v>1971</v>
      </c>
      <c r="R247" s="74" t="s">
        <v>96</v>
      </c>
      <c r="S247" s="8" t="s">
        <v>1966</v>
      </c>
      <c r="T247" s="8" t="s">
        <v>96</v>
      </c>
      <c r="U247" s="7" t="s">
        <v>273</v>
      </c>
      <c r="V247" s="8" t="s">
        <v>381</v>
      </c>
      <c r="W247" s="7" t="s">
        <v>42</v>
      </c>
      <c r="X247" s="23"/>
      <c r="Y247" s="25"/>
      <c r="Z247" s="7"/>
      <c r="AA247" s="53"/>
      <c r="AB247" s="25"/>
      <c r="AC247" s="53" t="s">
        <v>416</v>
      </c>
      <c r="AD247" s="20"/>
      <c r="AE247" s="16" t="s">
        <v>621</v>
      </c>
      <c r="AF247" s="19"/>
      <c r="AG247" s="19"/>
    </row>
    <row r="248" spans="1:33" ht="83.25" customHeight="1">
      <c r="A248" s="18">
        <v>244</v>
      </c>
      <c r="B248" s="18"/>
      <c r="C248" s="62">
        <v>46142.448761574102</v>
      </c>
      <c r="D248" s="23">
        <v>46142.533101851797</v>
      </c>
      <c r="E248" s="20">
        <f>DATE(YEAR(OfficeForms.Table[[#This Row],[Completion time]]), MONTH(OfficeForms.Table[[#This Row],[Completion time]]), DAY(OfficeForms.Table[[#This Row],[Completion time]]))</f>
        <v>46142</v>
      </c>
      <c r="F248" s="25" t="s">
        <v>1972</v>
      </c>
      <c r="G248" s="7" t="s">
        <v>1973</v>
      </c>
      <c r="H248" s="7" t="s">
        <v>1974</v>
      </c>
      <c r="I248" s="7" t="s">
        <v>1975</v>
      </c>
      <c r="J248" s="7" t="s">
        <v>1976</v>
      </c>
      <c r="K248" s="21" t="s">
        <v>1977</v>
      </c>
      <c r="L248" s="7" t="s">
        <v>60</v>
      </c>
      <c r="M248" s="86" t="s">
        <v>1978</v>
      </c>
      <c r="N248" s="55"/>
      <c r="O248" s="74" t="s">
        <v>737</v>
      </c>
      <c r="P248" s="8" t="s">
        <v>40</v>
      </c>
      <c r="Q248" s="74" t="s">
        <v>1979</v>
      </c>
      <c r="R248" s="74" t="s">
        <v>1211</v>
      </c>
      <c r="S248" s="8" t="s">
        <v>1980</v>
      </c>
      <c r="T248" s="8" t="s">
        <v>1492</v>
      </c>
      <c r="U248" s="7" t="s">
        <v>1981</v>
      </c>
      <c r="V248" s="8" t="s">
        <v>1982</v>
      </c>
      <c r="W248" s="7" t="s">
        <v>119</v>
      </c>
      <c r="X248" s="23"/>
      <c r="Y248" s="25"/>
      <c r="Z248" s="7"/>
      <c r="AA248" s="53"/>
      <c r="AB248" s="25"/>
      <c r="AC248" s="53" t="s">
        <v>416</v>
      </c>
      <c r="AD248" s="20">
        <v>46148</v>
      </c>
      <c r="AE248" s="16" t="s">
        <v>1879</v>
      </c>
      <c r="AF248" s="19"/>
      <c r="AG248" s="19"/>
    </row>
    <row r="249" spans="1:33" ht="83.25" customHeight="1">
      <c r="A249" s="22">
        <v>245</v>
      </c>
      <c r="B249" s="18"/>
      <c r="C249" s="60">
        <v>46147.7316782407</v>
      </c>
      <c r="D249" s="17">
        <v>46147.737326388902</v>
      </c>
      <c r="E249" s="1">
        <f>DATE(YEAR(OfficeForms.Table[[#This Row],[Completion time]]), MONTH(OfficeForms.Table[[#This Row],[Completion time]]), DAY(OfficeForms.Table[[#This Row],[Completion time]]))</f>
        <v>46147</v>
      </c>
      <c r="F249" s="32" t="s">
        <v>1342</v>
      </c>
      <c r="G249" s="3" t="s">
        <v>703</v>
      </c>
      <c r="H249" s="3"/>
      <c r="I249" s="3" t="s">
        <v>1983</v>
      </c>
      <c r="J249" s="3" t="s">
        <v>1984</v>
      </c>
      <c r="K249" s="21" t="s">
        <v>1882</v>
      </c>
      <c r="L249" s="3"/>
      <c r="M249" s="88"/>
      <c r="N249" s="55"/>
      <c r="O249" s="76" t="s">
        <v>737</v>
      </c>
      <c r="P249" s="9" t="s">
        <v>40</v>
      </c>
      <c r="Q249" s="76" t="s">
        <v>1985</v>
      </c>
      <c r="R249" s="76" t="s">
        <v>96</v>
      </c>
      <c r="S249" s="9" t="s">
        <v>1986</v>
      </c>
      <c r="T249" s="8" t="s">
        <v>96</v>
      </c>
      <c r="U249" s="3" t="s">
        <v>703</v>
      </c>
      <c r="V249" s="9" t="s">
        <v>1987</v>
      </c>
      <c r="W249" s="3" t="s">
        <v>119</v>
      </c>
      <c r="Y249" s="32"/>
      <c r="Z249" s="3"/>
      <c r="AA249" s="4"/>
      <c r="AB249" s="32"/>
      <c r="AC249" s="53"/>
      <c r="AD249" s="1"/>
      <c r="AE249" s="24" t="s">
        <v>621</v>
      </c>
      <c r="AF249" s="19"/>
      <c r="AG249" s="19"/>
    </row>
    <row r="250" spans="1:33" ht="83.25" customHeight="1">
      <c r="A250" s="22">
        <v>246</v>
      </c>
      <c r="B250" s="18"/>
      <c r="C250" s="60">
        <v>46147.901736111096</v>
      </c>
      <c r="D250" s="17">
        <v>46147.913310185198</v>
      </c>
      <c r="E250" s="1">
        <f>DATE(YEAR(OfficeForms.Table[[#This Row],[Completion time]]), MONTH(OfficeForms.Table[[#This Row],[Completion time]]), DAY(OfficeForms.Table[[#This Row],[Completion time]]))</f>
        <v>46147</v>
      </c>
      <c r="F250" s="32" t="s">
        <v>1988</v>
      </c>
      <c r="G250" s="3" t="s">
        <v>1989</v>
      </c>
      <c r="H250" s="3"/>
      <c r="I250" s="3" t="s">
        <v>1990</v>
      </c>
      <c r="J250" s="3" t="s">
        <v>1991</v>
      </c>
      <c r="K250" s="21" t="s">
        <v>1992</v>
      </c>
      <c r="L250" s="3"/>
      <c r="M250" s="88"/>
      <c r="N250" s="55" t="s">
        <v>1993</v>
      </c>
      <c r="O250" s="76" t="s">
        <v>1994</v>
      </c>
      <c r="P250" s="9" t="s">
        <v>499</v>
      </c>
      <c r="Q250" s="76" t="s">
        <v>1995</v>
      </c>
      <c r="R250" s="76" t="s">
        <v>1996</v>
      </c>
      <c r="S250" s="9" t="s">
        <v>1742</v>
      </c>
      <c r="T250" s="8" t="s">
        <v>96</v>
      </c>
      <c r="U250" s="3" t="s">
        <v>1989</v>
      </c>
      <c r="V250" s="9" t="s">
        <v>1997</v>
      </c>
      <c r="W250" s="3" t="s">
        <v>152</v>
      </c>
      <c r="X250" s="17">
        <v>46296</v>
      </c>
      <c r="Y250" s="32"/>
      <c r="Z250" s="3"/>
      <c r="AA250" s="4"/>
      <c r="AB250" s="32"/>
      <c r="AC250" s="53"/>
      <c r="AD250" s="1"/>
      <c r="AE250" s="24" t="s">
        <v>621</v>
      </c>
      <c r="AF250" s="19"/>
      <c r="AG250" s="19"/>
    </row>
    <row r="251" spans="1:33" ht="83.25" customHeight="1">
      <c r="A251" s="18">
        <v>247</v>
      </c>
      <c r="B251" s="18"/>
      <c r="C251" s="62">
        <v>46148.023587962998</v>
      </c>
      <c r="D251" s="23">
        <v>46148.026724536998</v>
      </c>
      <c r="E251" s="20">
        <f>DATE(YEAR(OfficeForms.Table[[#This Row],[Completion time]]), MONTH(OfficeForms.Table[[#This Row],[Completion time]]), DAY(OfficeForms.Table[[#This Row],[Completion time]]))</f>
        <v>46148</v>
      </c>
      <c r="F251" s="25" t="s">
        <v>261</v>
      </c>
      <c r="G251" s="7" t="s">
        <v>262</v>
      </c>
      <c r="H251" s="7"/>
      <c r="I251" s="7" t="s">
        <v>1998</v>
      </c>
      <c r="J251" s="7" t="s">
        <v>1999</v>
      </c>
      <c r="K251" s="21" t="s">
        <v>2000</v>
      </c>
      <c r="L251" s="7" t="s">
        <v>38</v>
      </c>
      <c r="M251" s="86"/>
      <c r="N251" s="55" t="s">
        <v>2001</v>
      </c>
      <c r="O251" s="74" t="s">
        <v>2002</v>
      </c>
      <c r="P251" s="8" t="s">
        <v>834</v>
      </c>
      <c r="Q251" s="74" t="s">
        <v>80</v>
      </c>
      <c r="R251" s="74" t="s">
        <v>999</v>
      </c>
      <c r="S251" s="8" t="s">
        <v>402</v>
      </c>
      <c r="T251" s="8" t="s">
        <v>96</v>
      </c>
      <c r="U251" s="7" t="s">
        <v>2003</v>
      </c>
      <c r="V251" s="8" t="s">
        <v>2004</v>
      </c>
      <c r="W251" s="7" t="s">
        <v>42</v>
      </c>
      <c r="X251" s="23"/>
      <c r="Y251" s="25"/>
      <c r="Z251" s="7"/>
      <c r="AA251" s="53"/>
      <c r="AB251" s="25"/>
      <c r="AC251" s="53"/>
      <c r="AD251" s="20"/>
      <c r="AE251" s="16" t="s">
        <v>1879</v>
      </c>
      <c r="AF251" s="19"/>
      <c r="AG251" s="19"/>
    </row>
    <row r="252" spans="1:33" ht="83.25" customHeight="1">
      <c r="A252" s="18">
        <v>248</v>
      </c>
      <c r="B252" s="18"/>
      <c r="C252" s="62">
        <v>46148.530879629601</v>
      </c>
      <c r="D252" s="23">
        <v>46148.554351851897</v>
      </c>
      <c r="E252" s="20">
        <f>DATE(YEAR(OfficeForms.Table[[#This Row],[Completion time]]), MONTH(OfficeForms.Table[[#This Row],[Completion time]]), DAY(OfficeForms.Table[[#This Row],[Completion time]]))</f>
        <v>46148</v>
      </c>
      <c r="F252" s="25" t="s">
        <v>1271</v>
      </c>
      <c r="G252" s="7" t="s">
        <v>550</v>
      </c>
      <c r="H252" s="7"/>
      <c r="I252" s="7" t="s">
        <v>2005</v>
      </c>
      <c r="J252" s="7" t="s">
        <v>2006</v>
      </c>
      <c r="K252" s="21" t="s">
        <v>2007</v>
      </c>
      <c r="L252" s="7"/>
      <c r="M252" s="86"/>
      <c r="N252" s="55"/>
      <c r="O252" s="74" t="s">
        <v>2008</v>
      </c>
      <c r="P252" s="8" t="s">
        <v>40</v>
      </c>
      <c r="Q252" s="74" t="s">
        <v>2009</v>
      </c>
      <c r="R252" s="74" t="s">
        <v>2010</v>
      </c>
      <c r="S252" s="8" t="s">
        <v>2011</v>
      </c>
      <c r="T252" s="8" t="s">
        <v>96</v>
      </c>
      <c r="U252" s="7" t="s">
        <v>1280</v>
      </c>
      <c r="V252" s="8" t="s">
        <v>2012</v>
      </c>
      <c r="W252" s="7" t="s">
        <v>152</v>
      </c>
      <c r="X252" s="23">
        <v>46203</v>
      </c>
      <c r="Y252" s="25"/>
      <c r="Z252" s="7"/>
      <c r="AA252" s="53"/>
      <c r="AB252" s="25"/>
      <c r="AC252" s="53"/>
      <c r="AD252" s="20"/>
      <c r="AE252" s="16" t="s">
        <v>229</v>
      </c>
      <c r="AF252" s="19"/>
      <c r="AG252" s="19"/>
    </row>
    <row r="253" spans="1:33" ht="83.25" customHeight="1">
      <c r="A253" s="18">
        <v>249</v>
      </c>
      <c r="B253" s="18"/>
      <c r="C253" s="62">
        <v>46153.490601851903</v>
      </c>
      <c r="D253" s="23">
        <v>46153.499155092599</v>
      </c>
      <c r="E253" s="20">
        <f>DATE(YEAR(OfficeForms.Table[[#This Row],[Completion time]]), MONTH(OfficeForms.Table[[#This Row],[Completion time]]), DAY(OfficeForms.Table[[#This Row],[Completion time]]))</f>
        <v>46153</v>
      </c>
      <c r="F253" s="25" t="s">
        <v>559</v>
      </c>
      <c r="G253" s="7" t="s">
        <v>560</v>
      </c>
      <c r="H253" s="7" t="s">
        <v>2013</v>
      </c>
      <c r="I253" s="7" t="s">
        <v>2014</v>
      </c>
      <c r="J253" s="7" t="s">
        <v>2014</v>
      </c>
      <c r="K253" s="21" t="s">
        <v>799</v>
      </c>
      <c r="L253" s="7" t="s">
        <v>346</v>
      </c>
      <c r="M253" s="86" t="s">
        <v>2015</v>
      </c>
      <c r="N253" s="55"/>
      <c r="O253" s="74" t="s">
        <v>1623</v>
      </c>
      <c r="P253" s="8" t="s">
        <v>40</v>
      </c>
      <c r="Q253" s="74" t="s">
        <v>2016</v>
      </c>
      <c r="R253" s="74" t="s">
        <v>1211</v>
      </c>
      <c r="S253" s="8" t="s">
        <v>2017</v>
      </c>
      <c r="T253" s="8" t="s">
        <v>1492</v>
      </c>
      <c r="U253" s="7" t="s">
        <v>560</v>
      </c>
      <c r="V253" s="8" t="s">
        <v>646</v>
      </c>
      <c r="W253" s="7" t="s">
        <v>119</v>
      </c>
      <c r="X253" s="23"/>
      <c r="Y253" s="25"/>
      <c r="Z253" s="7"/>
      <c r="AA253" s="53"/>
      <c r="AB253" s="25"/>
      <c r="AC253" s="53" t="s">
        <v>416</v>
      </c>
      <c r="AD253" s="20"/>
      <c r="AE253" s="16" t="s">
        <v>1879</v>
      </c>
      <c r="AF253" s="19"/>
      <c r="AG253" s="19"/>
    </row>
    <row r="254" spans="1:33" ht="83.25" customHeight="1">
      <c r="A254" s="18"/>
      <c r="B254" s="18"/>
      <c r="C254" s="62"/>
      <c r="D254" s="23"/>
      <c r="E254" s="20"/>
      <c r="F254" s="25"/>
      <c r="G254" s="7"/>
      <c r="H254" s="7"/>
      <c r="I254" s="7"/>
      <c r="J254" s="7"/>
      <c r="K254" s="21"/>
      <c r="L254" s="7"/>
      <c r="M254" s="7"/>
      <c r="N254" s="55"/>
      <c r="O254" s="74"/>
      <c r="P254" s="8"/>
      <c r="Q254" s="74"/>
      <c r="R254" s="74"/>
      <c r="S254" s="8"/>
      <c r="T254" s="7"/>
      <c r="U254" s="7"/>
      <c r="V254" s="8"/>
      <c r="W254" s="7"/>
      <c r="X254" s="23"/>
      <c r="Y254" s="25"/>
      <c r="Z254" s="7"/>
      <c r="AA254" s="53"/>
      <c r="AB254" s="25"/>
      <c r="AC254" s="53"/>
      <c r="AD254" s="20"/>
      <c r="AE254" s="16"/>
      <c r="AF254" s="19"/>
      <c r="AG254" s="19"/>
    </row>
    <row r="255" spans="1:33" ht="83.25" customHeight="1">
      <c r="D255" s="23"/>
      <c r="E255" s="23"/>
    </row>
    <row r="256" spans="1:33" ht="83.25" customHeight="1">
      <c r="D256" s="23"/>
      <c r="E256" s="23"/>
    </row>
  </sheetData>
  <dataValidations count="6">
    <dataValidation allowBlank="1" showInputMessage="1" showErrorMessage="1" sqref="AC1 M1:N72 M76:M90 M92:M95 AA255:AA1048576 M255:M1048576 AD255:AD1048576 AE1:AE137 AE139:AE254 N76:N1048576" xr:uid="{1CE2A63B-CD3C-4C07-9099-2B60902FE353}"/>
    <dataValidation type="list" allowBlank="1" showInputMessage="1" showErrorMessage="1" sqref="AA2:AA53 AA55:AA82" xr:uid="{F586D024-F564-4D3A-8D1C-2BA84FECF736}">
      <formula1>"No Action, To-do, Taken in-progress, Deployed, On hold"</formula1>
    </dataValidation>
    <dataValidation type="list" allowBlank="1" showInputMessage="1" showErrorMessage="1" sqref="AC2 AC4:AC5 AC8:AC10 AC12:AC13 AC15:AC17 AC56:AC59 AC35:AC42 AC44:AC45 AC47:AC54 AC20:AC25 AC27:AC29" xr:uid="{D2DB60AA-5325-4C81-84B7-C01113FAC877}">
      <formula1>"PACE, CX, Implementation, Sales, Others"</formula1>
    </dataValidation>
    <dataValidation type="list" allowBlank="1" showInputMessage="1" showErrorMessage="1" sqref="AA54 AA83:AA254" xr:uid="{25708E4A-692F-441B-BC27-1B992673FF1D}">
      <formula1>"No Action, To-do, Taken in-progress, Deployed, On hold, Availability Check"</formula1>
    </dataValidation>
    <dataValidation type="list" allowBlank="1" showInputMessage="1" showErrorMessage="1" sqref="AC3 AC6:AC7 AC11 AC14 AC18:AC19 AC30:AC34 AC43 AC46 AC55 AC26 AC60:AC254" xr:uid="{5A4A89F8-D8FF-4C53-91F8-74BFCBC9D35A}">
      <formula1>"PACE, CX, Implementation, R&amp;R Sales, Merchandise Sales, Others"</formula1>
    </dataValidation>
    <dataValidation type="list" allowBlank="1" showInputMessage="1" showErrorMessage="1" sqref="L2:L254" xr:uid="{4A84654C-ECA9-466F-B56E-1EBBBBA8F876}">
      <formula1>"Open, Rejected, Solution Given Closed, To Product Closed, No Response Closed"</formula1>
    </dataValidation>
  </dataValidations>
  <hyperlinks>
    <hyperlink ref="Z72" r:id="rId1" xr:uid="{FEC0F58A-6D97-4E52-B8C6-CDE166D66BC6}"/>
    <hyperlink ref="Y74" r:id="rId2" xr:uid="{29973344-D8F9-4A9B-9997-79BCEC5E3702}"/>
    <hyperlink ref="Y72" r:id="rId3" xr:uid="{0300B011-B4EC-41EA-ABAC-C66FDDEE3D5B}"/>
    <hyperlink ref="N89" r:id="rId4" xr:uid="{7F5E0E7E-0980-4144-A52E-E9F70C587474}"/>
    <hyperlink ref="AB103" r:id="rId5" xr:uid="{BAE1A8A1-D050-4BBC-BC7F-28C6C325CAD8}"/>
    <hyperlink ref="AB66" r:id="rId6" xr:uid="{761576A5-42C8-4DD3-A815-6A5AA2C2D70B}"/>
    <hyperlink ref="AB67" r:id="rId7" xr:uid="{1ACE6433-798E-4318-BCC3-F7C10C806958}"/>
    <hyperlink ref="AB54" r:id="rId8" xr:uid="{C40D4DEB-B4E4-40E6-9A2C-36F41108308B}"/>
    <hyperlink ref="N74" r:id="rId9" xr:uid="{D2D3EA71-1B8A-40F7-BD29-5629FED606C0}"/>
    <hyperlink ref="N79" r:id="rId10" xr:uid="{72003EE3-6F89-4405-A0F4-BBA3645364AF}"/>
    <hyperlink ref="N75" r:id="rId11" xr:uid="{0D1FE8C7-D656-42C9-BAEC-C1BF774633FA}"/>
    <hyperlink ref="Y70" r:id="rId12" xr:uid="{342ACC29-6032-4815-A3D4-C8E559325EED}"/>
    <hyperlink ref="Y71" r:id="rId13" xr:uid="{DC162588-848E-4D0F-B06D-66BA07EDA845}"/>
    <hyperlink ref="N71" r:id="rId14" xr:uid="{D3D149BF-B6D7-40E5-974E-2CCC99B94AB6}"/>
    <hyperlink ref="Y63" r:id="rId15" xr:uid="{C7506078-B233-4BD3-8428-6CDE5A578BB1}"/>
    <hyperlink ref="AB45" r:id="rId16" xr:uid="{1B880D6C-8210-405B-A1E9-A57D25A22CD3}"/>
    <hyperlink ref="AB44" r:id="rId17" xr:uid="{4682EB73-F4C5-467F-842E-6E7406D45795}"/>
    <hyperlink ref="AB37" r:id="rId18" xr:uid="{0D5522D8-E253-4F8C-BE10-AF2D47B4F141}"/>
    <hyperlink ref="Y33" r:id="rId19" xr:uid="{75D4D64F-D112-4AA8-A7C3-091B1128BF49}"/>
    <hyperlink ref="Z26" r:id="rId20" xr:uid="{B0973633-B653-433A-9819-B30C4CA64B9A}"/>
    <hyperlink ref="Y26" r:id="rId21" xr:uid="{70C4D069-D6B0-4C01-98E6-86181ADB32C0}"/>
    <hyperlink ref="F22" r:id="rId22" xr:uid="{EDE8F938-361B-4656-88FD-AC7276A207F7}"/>
    <hyperlink ref="Z20" r:id="rId23" xr:uid="{D14B3480-EDCB-45EB-BB3E-3627F36A51E4}"/>
    <hyperlink ref="Y20" r:id="rId24" xr:uid="{43210765-2110-4EB7-98DB-EC8BDB930469}"/>
    <hyperlink ref="F20" r:id="rId25" xr:uid="{D7864209-183D-41D3-83D0-3065E6D260EC}"/>
    <hyperlink ref="Y12" r:id="rId26" xr:uid="{44E41B4E-A26D-4E4B-921F-DCDD1A2E7E29}"/>
    <hyperlink ref="Y19" r:id="rId27" xr:uid="{7915D5AB-9E6D-42BE-B029-3795140B2520}"/>
    <hyperlink ref="Y14" r:id="rId28" xr:uid="{3BF51302-D52E-4BB3-9ABC-9D6A23DE2712}"/>
    <hyperlink ref="Y5" r:id="rId29" xr:uid="{2981AA87-4583-41FC-82D2-E4C0E16ECB38}"/>
    <hyperlink ref="N137" r:id="rId30" display="https://vantagecircle.sharepoint.com/sites/Solutions/Shared%20Documents/Apps/Microsoft%20Forms/Solution%20Request%20Form/Question/image%20(13)_Nashreen%20Akhtar.png; https://vantagecircle.sharepoint.com/sites/Solutions/Shared%20Documents/Apps/Microsoft%20Forms/Solution%20Request%20Form/Question/image%20(14)_Nashreen%20Akhtar.png" xr:uid="{E595E98F-7F05-4169-B5E1-FA3F8E1DE0C5}"/>
    <hyperlink ref="Y86" r:id="rId31" xr:uid="{BC9613A4-15DD-4CE0-A076-17F12C3F49E9}"/>
    <hyperlink ref="Z74" r:id="rId32" xr:uid="{3AB6A7DE-7CBA-429A-9FAF-9BA9E1DEE077}"/>
    <hyperlink ref="AB48" r:id="rId33" xr:uid="{607B1145-5DFD-4982-9F9C-848A17397AAB}"/>
    <hyperlink ref="N135" r:id="rId34" xr:uid="{8B14978F-57F4-4043-954A-B6D3FEAE6B35}"/>
    <hyperlink ref="J230" r:id="rId35" xr:uid="{7F144F64-DB56-41AB-AA77-1EFAE58E0EE7}"/>
    <hyperlink ref="N102" r:id="rId36" xr:uid="{1008C68F-52F0-4879-BD9D-B3B2C2DCD87B}"/>
    <hyperlink ref="N127" r:id="rId37" xr:uid="{5FD80EAB-766D-4D27-9EE9-DA07B476DC99}"/>
    <hyperlink ref="F119" r:id="rId38" xr:uid="{21517728-C9D8-4601-BD82-D0C58FB2399F}"/>
    <hyperlink ref="M127" r:id="rId39" xr:uid="{8F1FB3ED-AB3B-4FBD-B80C-35B4C5156417}"/>
    <hyperlink ref="N98" r:id="rId40" xr:uid="{A614FDAF-6216-4E74-900E-C6E22BEC848A}"/>
    <hyperlink ref="N107" r:id="rId41" xr:uid="{E5D2D8EC-9162-4239-8081-D3BEC29D4277}"/>
    <hyperlink ref="N180" r:id="rId42" xr:uid="{B824C1EE-FEDC-487B-BA86-DED67D9D5165}"/>
    <hyperlink ref="AB126" r:id="rId43" xr:uid="{69619C04-7954-44E1-A156-71BC31FFF770}"/>
    <hyperlink ref="AB131" r:id="rId44" xr:uid="{D2A0E6F7-7963-48E4-81E4-AF950436566E}"/>
    <hyperlink ref="N159" r:id="rId45" display="https://vantagecircle.sharepoint.com/sites/Solutions/_layouts/15/Doc.aspx?sourcedoc=%7BC07A14A4-F364-4D86-9818-339A8B349786%7D&amp;file=Award%20Workflow%20references%20Coromandel%20Internat_Parshi%20Phukan.xlsx&amp;action=default&amp;mobileredirect=true; https://vantagecircle.sharepoint.com/sites/Solutions/_layouts/15/Doc.aspx?sourcedoc=%7B03B369D1-A134-43E0-AF3D-F8101992DC3C%7D&amp;file=Award%20Workflow%20references%20Coromandel%20Internat%202_Parshi%20Phukan.xlsx&amp;action=default&amp;mobileredirect=true; https://vantagecircle.sharepoint.com/sites/Solutions/_layouts/15/Doc.aspx?sourcedoc=%7BAD029E89-DA1E-46C7-B934-3FC3F9E0B2A4%7D&amp;file=Award%20Workflow%20references%20Coromandel%20Internat%203_Parshi%20Phukan.xlsx&amp;action=default&amp;mobileredirect=true; https://vantagecircle.sharepoint.com/sites/Solutions/_layouts/15/Doc.aspx?sourcedoc=%7BBA9CC7F4-4082-4AE1-8A8C-1E2EE881CCB8%7D&amp;file=Award%20Workflow%20references%20Coromandel%20Internat%204_Parshi%20Phukan.xlsx&amp;action=default&amp;mobileredirect=true; https://vantagecircle.sharepoint.com/sites/Solutions/_layouts/15/Doc.aspx?sourcedoc=%7B36CA273F-768E-4889-A8BF-BF09B728871C%7D&amp;file=Award%20Workflow%20references%20Coromandel%20Internat%205_Parshi%20Phukan.xlsx&amp;action=default&amp;mobileredirect=true; https://vantagecircle.sharepoint.com/sites/Solutions/_layouts/15/Doc.aspx?sourcedoc=%7BF57EEDD3-A886-412D-97F8-19B36CE5F390%7D&amp;file=Award%20Workflow%20references%20Coromandel%20Internat%206_Parshi%20Phukan.xlsx&amp;action=default&amp;mobileredirect=true; https://vantagecircle.sharepoint.com/sites/Solutions/_layouts/15/Doc.aspx?sourcedoc=%7B2DD58C90-93AE-474B-986B-6B30F4060D80%7D&amp;file=RR%20%20Monetary%20Awards%20Conslidated%20(2)_Parshi%20Phukan.xlsx&amp;action=default&amp;mobileredirect=true" xr:uid="{B2583166-1870-4545-A28A-AB19DD85B581}"/>
    <hyperlink ref="N162" r:id="rId46" xr:uid="{E8476DBA-03D8-49D3-8D04-ECB10C7D9235}"/>
    <hyperlink ref="N165" r:id="rId47" xr:uid="{D4FAD4E2-2D69-47B1-A845-8C11EC1920EF}"/>
    <hyperlink ref="AB168" r:id="rId48" xr:uid="{4B3261D7-C039-4E92-A015-CEC77C40A6E3}"/>
    <hyperlink ref="N73" r:id="rId49" xr:uid="{09A01403-B12D-4507-8FD5-7848E9EA0CEA}"/>
    <hyperlink ref="N174" r:id="rId50" xr:uid="{CDB4A876-7447-4184-AA6C-A1C90433D3FF}"/>
    <hyperlink ref="AB165" r:id="rId51" xr:uid="{DBB174B0-780B-497D-B7CD-531BC3CBA4AC}"/>
    <hyperlink ref="N118" r:id="rId52" xr:uid="{549BAA2B-4F6E-40AC-BE66-9F29ADF26253}"/>
    <hyperlink ref="N76" r:id="rId53" xr:uid="{A4D3B2AF-AF15-48A3-BAB6-07ABB414A38F}"/>
    <hyperlink ref="Y171" r:id="rId54" xr:uid="{92358C13-4821-4E48-9209-7EC238D5220D}"/>
    <hyperlink ref="Y173" r:id="rId55" xr:uid="{3B82827E-E8D5-428E-A68A-E6BB5F031FD5}"/>
    <hyperlink ref="Y193" r:id="rId56" xr:uid="{74395E1D-F1BE-4161-96DD-95AB3BF575A1}"/>
    <hyperlink ref="Y192" r:id="rId57" xr:uid="{D25AA788-0D58-48D6-88CA-01F2EBD99925}"/>
    <hyperlink ref="AB181" r:id="rId58" xr:uid="{784E0E16-B77B-42A6-A867-9BC8A3E54EED}"/>
    <hyperlink ref="AB202" r:id="rId59" xr:uid="{CC1F536A-CE16-4755-801D-D0EF5796BBC0}"/>
    <hyperlink ref="Y181" r:id="rId60" xr:uid="{A6B98BC9-EF49-40DF-8611-95CA39FBF785}"/>
    <hyperlink ref="Y210" r:id="rId61" xr:uid="{7D3E374B-BA9B-4D44-BE84-E1DDB93D639B}"/>
    <hyperlink ref="Z210" r:id="rId62" xr:uid="{C550BC3E-468C-483A-8103-5D69501A610C}"/>
    <hyperlink ref="Y216" r:id="rId63" xr:uid="{6973FFCC-2A9B-409C-8969-BF1276F5C7DF}"/>
    <hyperlink ref="AB100" r:id="rId64" xr:uid="{1FE4D627-F0CE-4294-9D57-A5A6E47A6CB4}"/>
    <hyperlink ref="N87" r:id="rId65" xr:uid="{0B37C5AD-4982-4938-85CB-A2AC0CDB3536}"/>
    <hyperlink ref="N91" r:id="rId66" xr:uid="{62994E30-470A-4D72-8743-165057B5313D}"/>
    <hyperlink ref="N189" r:id="rId67" xr:uid="{A96CB52F-1C38-47A0-82BA-3C1B268765C3}"/>
    <hyperlink ref="N232" r:id="rId68" xr:uid="{73A719E6-BB32-49CD-8968-355DF2C92F15}"/>
    <hyperlink ref="AB243" r:id="rId69" xr:uid="{74E00CEA-C640-4C96-A136-EB7CA5A9D3DD}"/>
    <hyperlink ref="N246" r:id="rId70" xr:uid="{961D8309-1337-4294-84EA-9AA5E00AA54A}"/>
    <hyperlink ref="N149" r:id="rId71" xr:uid="{21056EF2-36E2-4FDA-8F60-4340CCA89CBA}"/>
    <hyperlink ref="N251" r:id="rId72" display="https://vantagecircle.sharepoint.com/sites/Solutions/_layouts/15/Doc.aspx?sourcedoc=%7BF52C588E-F849-4165-B1E1-DCF737054C9E%7D&amp;file=Octapharma%20Plasma%20Reward%20Recognition%20Program_Prashansa%20Gokhale.xlsx&amp;action=default&amp;mobileredirect=true; https://vantagecircle.sharepoint.com/sites/Solutions/_layouts/15/Doc.aspx?sourcedoc=%7BCEB52EFA-2FD3-4DBB-9117-58D098C7F956%7D&amp;file=Vendor%20Briefing%20Overview_Prashansa%20Gokhale.docx&amp;action=default&amp;mobileredirect=true" xr:uid="{06BDF75A-4708-4BED-A243-C2CCBF4C0A92}"/>
    <hyperlink ref="N250" r:id="rId73" xr:uid="{47008B16-0ED6-4113-A92A-47A3BAF9F54F}"/>
  </hyperlinks>
  <pageMargins left="0.7" right="0.7" top="0.75" bottom="0.75" header="0.3" footer="0.3"/>
  <pageSetup paperSize="9" orientation="portrait" r:id="rId74"/>
  <legacyDrawing r:id="rId75"/>
  <tableParts count="1">
    <tablePart r:id="rId7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5906-469D-40F5-AF02-A14D4C7838D1}">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99e524-2cae-4ddd-8222-d30cd2661996" xsi:nil="true"/>
    <lcf76f155ced4ddcb4097134ff3c332f xmlns="d6ddd5bb-c02f-4eb9-847e-0bc8f4c7211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FF04F5B0F1734DAADEDBD0C2191247" ma:contentTypeVersion="10" ma:contentTypeDescription="Create a new document." ma:contentTypeScope="" ma:versionID="96fc8e152c3522a9b3ab3eaeb035fe62">
  <xsd:schema xmlns:xsd="http://www.w3.org/2001/XMLSchema" xmlns:xs="http://www.w3.org/2001/XMLSchema" xmlns:p="http://schemas.microsoft.com/office/2006/metadata/properties" xmlns:ns2="d6ddd5bb-c02f-4eb9-847e-0bc8f4c72110" xmlns:ns3="e999e524-2cae-4ddd-8222-d30cd2661996" targetNamespace="http://schemas.microsoft.com/office/2006/metadata/properties" ma:root="true" ma:fieldsID="b5e4e9c8bdc43eae1882439532173790" ns2:_="" ns3:_="">
    <xsd:import namespace="d6ddd5bb-c02f-4eb9-847e-0bc8f4c72110"/>
    <xsd:import namespace="e999e524-2cae-4ddd-8222-d30cd26619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ddd5bb-c02f-4eb9-847e-0bc8f4c721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5845da1-a151-45b7-b638-72f869d2eda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99e524-2cae-4ddd-8222-d30cd26619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2d0935-aa54-4c2f-b03a-fb986071f500}" ma:internalName="TaxCatchAll" ma:showField="CatchAllData" ma:web="e999e524-2cae-4ddd-8222-d30cd26619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F06897-9C75-42FA-B107-6250211440AB}"/>
</file>

<file path=customXml/itemProps2.xml><?xml version="1.0" encoding="utf-8"?>
<ds:datastoreItem xmlns:ds="http://schemas.openxmlformats.org/officeDocument/2006/customXml" ds:itemID="{95126CC4-13F2-4585-9807-5BE67B4E45FB}"/>
</file>

<file path=customXml/itemProps3.xml><?xml version="1.0" encoding="utf-8"?>
<ds:datastoreItem xmlns:ds="http://schemas.openxmlformats.org/officeDocument/2006/customXml" ds:itemID="{0AE37575-BD96-4EB7-8AFD-E83A5D8808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2025-03-19T11:33:26Z</dcterms:created>
  <dcterms:modified xsi:type="dcterms:W3CDTF">2026-05-12T06:03:16Z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0x0101006CFF04F5B0F1734DAADEDBD0C2191247</vt:lpwstr>
  </property>
  <property fmtid="{D5CDD505-2E9C-101B-9397-08002B2CF9AE}" pid="3" name="MediaServiceImageTags">
    <vt:lpwstr/>
  </property>
</Properties>
</file>